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revisar" sheetId="1" state="visible" r:id="rId1"/>
    <sheet name="Resumen" sheetId="2" state="visible" r:id="rId2"/>
  </sheets>
  <definedNames>
    <definedName name="_xlnm._FilterDatabase" localSheetId="0" hidden="1">'Por revisar'!$A$8:$K$49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\(#,##0\);&quot;—&quot;"/>
    <numFmt numFmtId="165" formatCode="&quot;$&quot;\ #,##0.00;[Red]\(&quot;$&quot;\ #,##0.00\);&quot;—&quot;"/>
    <numFmt numFmtId="166" formatCode="\+0.0%;[Red]\-0.0%;&quot;—&quot;"/>
  </numFmts>
  <fonts count="19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0"/>
    </font>
    <font>
      <b val="1"/>
      <color rgb="001B2637"/>
      <sz val="10"/>
    </font>
    <font>
      <b val="1"/>
      <color rgb="00E3485C"/>
      <sz val="9"/>
    </font>
    <font>
      <b val="1"/>
      <color rgb="003158A6"/>
      <sz val="9"/>
    </font>
    <font>
      <b val="1"/>
      <color rgb="0019735D"/>
      <sz val="11"/>
    </font>
    <font>
      <color rgb="00536276"/>
      <sz val="9"/>
    </font>
    <font>
      <color rgb="001B2637"/>
      <sz val="10"/>
    </font>
    <font>
      <b val="1"/>
      <color rgb="003158A6"/>
      <sz val="10"/>
    </font>
    <font>
      <b val="1"/>
      <color rgb="00FFFFFF"/>
      <sz val="9"/>
    </font>
    <font>
      <b val="1"/>
      <color rgb="00536276"/>
      <sz val="9"/>
    </font>
    <font>
      <b val="1"/>
      <color rgb="00E6A540"/>
      <sz val="9"/>
    </font>
    <font>
      <b val="1"/>
      <color rgb="001B2637"/>
      <sz val="24"/>
    </font>
    <font>
      <b val="1"/>
      <color rgb="00E3485C"/>
      <sz val="24"/>
    </font>
    <font>
      <b val="1"/>
      <color rgb="0019735D"/>
      <sz val="24"/>
    </font>
    <font>
      <b val="1"/>
      <color rgb="003158A6"/>
      <sz val="24"/>
    </font>
    <font>
      <b val="1"/>
      <color rgb="00FFFFFF"/>
      <sz val="11"/>
    </font>
    <font>
      <b val="1"/>
      <color rgb="001B2637"/>
      <sz val="21"/>
    </font>
  </fonts>
  <fills count="11">
    <fill>
      <patternFill/>
    </fill>
    <fill>
      <patternFill patternType="gray125"/>
    </fill>
    <fill>
      <patternFill patternType="solid">
        <fgColor rgb="00131C2B"/>
      </patternFill>
    </fill>
    <fill>
      <patternFill patternType="solid">
        <fgColor rgb="00202D3E"/>
      </patternFill>
    </fill>
    <fill>
      <patternFill patternType="solid">
        <fgColor rgb="00F1F5FA"/>
      </patternFill>
    </fill>
    <fill>
      <patternFill patternType="solid">
        <fgColor rgb="00FFF0F2"/>
      </patternFill>
    </fill>
    <fill>
      <patternFill patternType="solid">
        <fgColor rgb="00FFF7E8"/>
      </patternFill>
    </fill>
    <fill>
      <patternFill patternType="solid">
        <fgColor rgb="00EEF4FE"/>
      </patternFill>
    </fill>
    <fill>
      <patternFill patternType="solid">
        <fgColor rgb="00ECF8F5"/>
      </patternFill>
    </fill>
    <fill>
      <patternFill patternType="solid">
        <fgColor rgb="00FFFFFF"/>
      </patternFill>
    </fill>
    <fill>
      <patternFill patternType="solid">
        <fgColor rgb="00F8FAFD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9" borderId="0" applyAlignment="1" pivotButton="0" quotePrefix="0" xfId="0">
      <alignment vertical="center" wrapText="1"/>
    </xf>
    <xf numFmtId="0" fontId="0" fillId="9" borderId="0" pivotButton="0" quotePrefix="0" xfId="0"/>
    <xf numFmtId="0" fontId="8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49" fontId="0" fillId="10" borderId="1" applyAlignment="1" pivotButton="0" quotePrefix="0" xfId="0">
      <alignment vertical="center"/>
    </xf>
    <xf numFmtId="164" fontId="3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6" fontId="0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3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8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1" customWidth="1" min="4" max="4"/>
    <col width="17" customWidth="1" min="5" max="5"/>
    <col width="18" customWidth="1" min="6" max="6"/>
    <col width="14" customWidth="1" min="7" max="7"/>
    <col width="16" customWidth="1" min="8" max="8"/>
    <col width="37" customWidth="1" min="9" max="9"/>
    <col width="23" customWidth="1" min="10" max="10"/>
    <col width="38" customWidth="1" min="11" max="11"/>
  </cols>
  <sheetData>
    <row r="1" ht="28" customHeight="1">
      <c r="A1" s="1" t="inlineStr">
        <is>
          <t>LA QUILLOTANA  /  CONTROL DE COSTOS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HOJA DE TRABAJO  ·  41 casos para revisar  ·  La Quillotana (prueba)  ·  Corte 2026-10-26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22" customHeight="1">
      <c r="A3" s="5" t="inlineStr">
        <is>
          <t>41  CASOS DEL CORTE</t>
        </is>
      </c>
      <c r="B3" s="6" t="n"/>
      <c r="C3" s="6" t="n"/>
      <c r="D3" s="7" t="inlineStr">
        <is>
          <t>3  CRÍTICOS P1</t>
        </is>
      </c>
      <c r="E3" s="8" t="n"/>
      <c r="F3" s="9" t="inlineStr">
        <is>
          <t>3  ALTOS P2</t>
        </is>
      </c>
      <c r="G3" s="10" t="n"/>
      <c r="H3" s="11" t="inlineStr">
        <is>
          <t>35  MEDIOS P3</t>
        </is>
      </c>
      <c r="I3" s="12" t="n"/>
      <c r="J3" s="13" t="inlineStr">
        <is>
          <t>CON STOCK  ✓</t>
        </is>
      </c>
      <c r="K3" s="14" t="n"/>
    </row>
    <row r="4">
      <c r="A4" s="15" t="inlineStr">
        <is>
          <t>PASO 1  Filtra por prioridad   →   PASO 2  Revisa factura/unidad   →   PASO 3  Cambia ESTADO y escribe OBSERVACIÓN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</row>
    <row r="5">
      <c r="A5" s="17" t="inlineStr">
        <is>
          <t>Δ % = (última compra comparable − costo promedio Bsale) / costo promedio. No es variación entre dos facturas.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8" t="inlineStr">
        <is>
          <t>ALERTA ≠ ERROR CONFIRMADO   |   Los campos AZULES se pueden editar. Editar aquí NO actualiza la ERP.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8">
      <c r="A8" s="19" t="inlineStr">
        <is>
          <t>TIPO DE PRODUCTO</t>
        </is>
      </c>
      <c r="B8" s="19" t="inlineStr">
        <is>
          <t>PRODUCTO + VARIANTE</t>
        </is>
      </c>
      <c r="C8" s="19" t="inlineStr">
        <is>
          <t>CÓDIGO DE BARRAS</t>
        </is>
      </c>
      <c r="D8" s="19" t="inlineStr">
        <is>
          <t>STOCK GLOBAL</t>
        </is>
      </c>
      <c r="E8" s="19" t="inlineStr">
        <is>
          <t>COSTO PROM. NETO</t>
        </is>
      </c>
      <c r="F8" s="19" t="inlineStr">
        <is>
          <t>ÚLTIMA COMPRA NETA</t>
        </is>
      </c>
      <c r="G8" s="19" t="inlineStr">
        <is>
          <t>Δ VS PROMEDIO</t>
        </is>
      </c>
      <c r="H8" s="19" t="inlineStr">
        <is>
          <t>PRIORIDAD</t>
        </is>
      </c>
      <c r="I8" s="19" t="inlineStr">
        <is>
          <t>QUÉ REVISAR / FACTURA</t>
        </is>
      </c>
      <c r="J8" s="19" t="inlineStr">
        <is>
          <t>ESTADO</t>
        </is>
      </c>
      <c r="K8" s="19" t="inlineStr">
        <is>
          <t>OBSERVACIÓN</t>
        </is>
      </c>
    </row>
    <row r="9">
      <c r="A9" s="20" t="inlineStr">
        <is>
          <t>CERVEZA</t>
        </is>
      </c>
      <c r="B9" s="21" t="inlineStr">
        <is>
          <t>Producto 10894 — Variante 10894</t>
        </is>
      </c>
      <c r="C9" s="22" t="inlineStr">
        <is>
          <t>7800000010894</t>
        </is>
      </c>
      <c r="D9" s="23" t="n">
        <v>1964</v>
      </c>
      <c r="E9" s="24" t="n">
        <v>100</v>
      </c>
      <c r="F9" s="24" t="n">
        <v>135.77</v>
      </c>
      <c r="G9" s="25" t="n">
        <v>0.3577</v>
      </c>
      <c r="H9" s="26" t="inlineStr">
        <is>
          <t>P1 · CRÍTICO</t>
        </is>
      </c>
      <c r="I9" s="27" t="inlineStr">
        <is>
          <t>divergencia &gt;15 % · revisar_recepcion_y_promedio · Respaldo: Factura 123
Factura 123</t>
        </is>
      </c>
      <c r="J9" s="28" t="inlineStr">
        <is>
          <t>Pendiente</t>
        </is>
      </c>
      <c r="K9" s="28" t="n"/>
    </row>
    <row r="10">
      <c r="A10" s="29" t="inlineStr">
        <is>
          <t>CERVEZA</t>
        </is>
      </c>
      <c r="B10" s="30" t="inlineStr">
        <is>
          <t>Producto 27785 — Variante 27785</t>
        </is>
      </c>
      <c r="C10" s="31" t="inlineStr">
        <is>
          <t>7800000027785</t>
        </is>
      </c>
      <c r="D10" s="32" t="n">
        <v>679</v>
      </c>
      <c r="E10" s="33" t="n">
        <v>100</v>
      </c>
      <c r="F10" s="33" t="n">
        <v>135.17</v>
      </c>
      <c r="G10" s="34" t="n">
        <v>0.3517</v>
      </c>
      <c r="H10" s="35" t="inlineStr">
        <is>
          <t>P2 · ALTO</t>
        </is>
      </c>
      <c r="I10" s="36" t="inlineStr">
        <is>
          <t>divergencia &gt;15 % · revisar_recepcion_y_promedio · Respaldo: Factura 123
Factura 123</t>
        </is>
      </c>
      <c r="J10" s="28" t="inlineStr">
        <is>
          <t>Pendiente</t>
        </is>
      </c>
      <c r="K10" s="28" t="n"/>
    </row>
    <row r="11">
      <c r="A11" s="20" t="inlineStr">
        <is>
          <t>HARINA</t>
        </is>
      </c>
      <c r="B11" s="21" t="inlineStr">
        <is>
          <t>Cero C — Stock positivo crítico</t>
        </is>
      </c>
      <c r="C11" s="22" t="inlineStr">
        <is>
          <t>7809003</t>
        </is>
      </c>
      <c r="D11" s="23" t="n">
        <v>44</v>
      </c>
      <c r="E11" s="24" t="n">
        <v>0</v>
      </c>
      <c r="F11" s="24" t="n"/>
      <c r="G11" s="25" t="n"/>
      <c r="H11" s="26" t="inlineStr">
        <is>
          <t>P1 · CRÍTICO</t>
        </is>
      </c>
      <c r="I11" s="27" t="inlineStr">
        <is>
          <t>stock positivo sin costo válido · verificar_alta_catalogo_y_primera_compra</t>
        </is>
      </c>
      <c r="J11" s="28" t="inlineStr">
        <is>
          <t>Pendiente</t>
        </is>
      </c>
      <c r="K11" s="28" t="n"/>
    </row>
    <row r="12">
      <c r="A12" s="29" t="inlineStr">
        <is>
          <t>CERVEZA</t>
        </is>
      </c>
      <c r="B12" s="30" t="inlineStr">
        <is>
          <t>Producto 30735 — Variante 30735</t>
        </is>
      </c>
      <c r="C12" s="31" t="inlineStr">
        <is>
          <t>7800000030735</t>
        </is>
      </c>
      <c r="D12" s="32" t="n">
        <v>5</v>
      </c>
      <c r="E12" s="33" t="n">
        <v>100</v>
      </c>
      <c r="F12" s="33" t="n">
        <v>500</v>
      </c>
      <c r="G12" s="25" t="n">
        <v>4</v>
      </c>
      <c r="H12" s="26" t="inlineStr">
        <is>
          <t>P1 · CRÍTICO</t>
        </is>
      </c>
      <c r="I12" s="36" t="inlineStr">
        <is>
          <t>divergencia extrema · contrastar_factura_unidad_presentacion · Respaldo: Factura 123
Factura 123</t>
        </is>
      </c>
      <c r="J12" s="28" t="inlineStr">
        <is>
          <t>Pendiente</t>
        </is>
      </c>
      <c r="K12" s="28" t="n"/>
    </row>
    <row r="13">
      <c r="A13" s="20" t="inlineStr">
        <is>
          <t>CERVEZA</t>
        </is>
      </c>
      <c r="B13" s="21" t="inlineStr">
        <is>
          <t>Producto 24486 — Variante 24486</t>
        </is>
      </c>
      <c r="C13" s="22" t="inlineStr">
        <is>
          <t>7800000024486</t>
        </is>
      </c>
      <c r="D13" s="23" t="n">
        <v>29</v>
      </c>
      <c r="E13" s="24" t="n">
        <v>100</v>
      </c>
      <c r="F13" s="24" t="n">
        <v>4.76</v>
      </c>
      <c r="G13" s="34" t="n">
        <v>-0.9523999999999999</v>
      </c>
      <c r="H13" s="35" t="inlineStr">
        <is>
          <t>P2 · ALTO</t>
        </is>
      </c>
      <c r="I13" s="27" t="inlineStr">
        <is>
          <t>divergencia extrema · contrastar_factura_unidad_presentacion · Respaldo: Factura 123
Factura 123</t>
        </is>
      </c>
      <c r="J13" s="28" t="inlineStr">
        <is>
          <t>Pendiente</t>
        </is>
      </c>
      <c r="K13" s="28" t="n"/>
    </row>
    <row r="14">
      <c r="A14" s="29" t="inlineStr">
        <is>
          <t>CERVEZA</t>
        </is>
      </c>
      <c r="B14" s="30" t="inlineStr">
        <is>
          <t>Producto 29507 — Variante 29507</t>
        </is>
      </c>
      <c r="C14" s="31" t="inlineStr">
        <is>
          <t>7800000029507</t>
        </is>
      </c>
      <c r="D14" s="32" t="n">
        <v>14</v>
      </c>
      <c r="E14" s="33" t="n">
        <v>100</v>
      </c>
      <c r="F14" s="33" t="n">
        <v>160.28</v>
      </c>
      <c r="G14" s="34" t="n">
        <v>0.6028</v>
      </c>
      <c r="H14" s="35" t="inlineStr">
        <is>
          <t>P2 · ALTO</t>
        </is>
      </c>
      <c r="I14" s="36" t="inlineStr">
        <is>
          <t>divergencia &gt;15 % · contrastar_factura_unidad_presentacion · Respaldo: Factura 123
Factura 123</t>
        </is>
      </c>
      <c r="J14" s="28" t="inlineStr">
        <is>
          <t>Pendiente</t>
        </is>
      </c>
      <c r="K14" s="28" t="n"/>
    </row>
    <row r="15">
      <c r="A15" s="20" t="inlineStr">
        <is>
          <t>CERVEZA</t>
        </is>
      </c>
      <c r="B15" s="21" t="inlineStr">
        <is>
          <t>Producto 40000 — Variante 40000</t>
        </is>
      </c>
      <c r="C15" s="22" t="inlineStr">
        <is>
          <t>7800000040000</t>
        </is>
      </c>
      <c r="D15" s="23" t="n">
        <v>10</v>
      </c>
      <c r="E15" s="24" t="n">
        <v>100</v>
      </c>
      <c r="F15" s="24" t="n">
        <v>120.5</v>
      </c>
      <c r="G15" s="37" t="n">
        <v>0.205</v>
      </c>
      <c r="H15" s="38" t="inlineStr">
        <is>
          <t>P3 · MEDIO</t>
        </is>
      </c>
      <c r="I15" s="27" t="inlineStr">
        <is>
          <t>divergencia &gt;15 % · revisar_recepcion_y_promedio · Respaldo: Factura 123
Factura 123</t>
        </is>
      </c>
      <c r="J15" s="28" t="inlineStr">
        <is>
          <t>Pendiente</t>
        </is>
      </c>
      <c r="K15" s="28" t="n"/>
    </row>
    <row r="16">
      <c r="A16" s="29" t="inlineStr">
        <is>
          <t>CERVEZA</t>
        </is>
      </c>
      <c r="B16" s="30" t="inlineStr">
        <is>
          <t>Producto 40001 — Variante 40001</t>
        </is>
      </c>
      <c r="C16" s="31" t="inlineStr">
        <is>
          <t>7800000040001</t>
        </is>
      </c>
      <c r="D16" s="32" t="n">
        <v>10</v>
      </c>
      <c r="E16" s="33" t="n">
        <v>100</v>
      </c>
      <c r="F16" s="33" t="n">
        <v>120.5</v>
      </c>
      <c r="G16" s="37" t="n">
        <v>0.205</v>
      </c>
      <c r="H16" s="38" t="inlineStr">
        <is>
          <t>P3 · MEDIO</t>
        </is>
      </c>
      <c r="I16" s="36" t="inlineStr">
        <is>
          <t>divergencia &gt;15 % · revisar_recepcion_y_promedio · Respaldo: Factura 123
Factura 123</t>
        </is>
      </c>
      <c r="J16" s="28" t="inlineStr">
        <is>
          <t>Pendiente</t>
        </is>
      </c>
      <c r="K16" s="28" t="n"/>
    </row>
    <row r="17">
      <c r="A17" s="20" t="inlineStr">
        <is>
          <t>CERVEZA</t>
        </is>
      </c>
      <c r="B17" s="21" t="inlineStr">
        <is>
          <t>Producto 40002 — Variante 40002</t>
        </is>
      </c>
      <c r="C17" s="22" t="inlineStr">
        <is>
          <t>7800000040002</t>
        </is>
      </c>
      <c r="D17" s="23" t="n">
        <v>10</v>
      </c>
      <c r="E17" s="24" t="n">
        <v>100</v>
      </c>
      <c r="F17" s="24" t="n">
        <v>120.5</v>
      </c>
      <c r="G17" s="37" t="n">
        <v>0.205</v>
      </c>
      <c r="H17" s="38" t="inlineStr">
        <is>
          <t>P3 · MEDIO</t>
        </is>
      </c>
      <c r="I17" s="27" t="inlineStr">
        <is>
          <t>divergencia &gt;15 % · revisar_recepcion_y_promedio · Respaldo: Factura 123
Factura 123</t>
        </is>
      </c>
      <c r="J17" s="28" t="inlineStr">
        <is>
          <t>Pendiente</t>
        </is>
      </c>
      <c r="K17" s="28" t="n"/>
    </row>
    <row r="18">
      <c r="A18" s="29" t="inlineStr">
        <is>
          <t>CERVEZA</t>
        </is>
      </c>
      <c r="B18" s="30" t="inlineStr">
        <is>
          <t>Producto 40003 — Variante 40003</t>
        </is>
      </c>
      <c r="C18" s="31" t="inlineStr">
        <is>
          <t>7800000040003</t>
        </is>
      </c>
      <c r="D18" s="32" t="n">
        <v>10</v>
      </c>
      <c r="E18" s="33" t="n">
        <v>100</v>
      </c>
      <c r="F18" s="33" t="n">
        <v>120.5</v>
      </c>
      <c r="G18" s="37" t="n">
        <v>0.205</v>
      </c>
      <c r="H18" s="38" t="inlineStr">
        <is>
          <t>P3 · MEDIO</t>
        </is>
      </c>
      <c r="I18" s="36" t="inlineStr">
        <is>
          <t>divergencia &gt;15 % · revisar_recepcion_y_promedio · Respaldo: Factura 123
Factura 123</t>
        </is>
      </c>
      <c r="J18" s="28" t="inlineStr">
        <is>
          <t>Pendiente</t>
        </is>
      </c>
      <c r="K18" s="28" t="n"/>
    </row>
    <row r="19">
      <c r="A19" s="20" t="inlineStr">
        <is>
          <t>CERVEZA</t>
        </is>
      </c>
      <c r="B19" s="21" t="inlineStr">
        <is>
          <t>Producto 40004 — Variante 40004</t>
        </is>
      </c>
      <c r="C19" s="22" t="inlineStr">
        <is>
          <t>7800000040004</t>
        </is>
      </c>
      <c r="D19" s="23" t="n">
        <v>10</v>
      </c>
      <c r="E19" s="24" t="n">
        <v>100</v>
      </c>
      <c r="F19" s="24" t="n">
        <v>120.5</v>
      </c>
      <c r="G19" s="37" t="n">
        <v>0.205</v>
      </c>
      <c r="H19" s="38" t="inlineStr">
        <is>
          <t>P3 · MEDIO</t>
        </is>
      </c>
      <c r="I19" s="27" t="inlineStr">
        <is>
          <t>divergencia &gt;15 % · revisar_recepcion_y_promedio · Respaldo: Factura 123
Factura 123</t>
        </is>
      </c>
      <c r="J19" s="28" t="inlineStr">
        <is>
          <t>Pendiente</t>
        </is>
      </c>
      <c r="K19" s="28" t="n"/>
    </row>
    <row r="20">
      <c r="A20" s="29" t="inlineStr">
        <is>
          <t>CERVEZA</t>
        </is>
      </c>
      <c r="B20" s="30" t="inlineStr">
        <is>
          <t>Producto 40005 — Variante 40005</t>
        </is>
      </c>
      <c r="C20" s="31" t="inlineStr">
        <is>
          <t>7800000040005</t>
        </is>
      </c>
      <c r="D20" s="32" t="n">
        <v>10</v>
      </c>
      <c r="E20" s="33" t="n">
        <v>100</v>
      </c>
      <c r="F20" s="33" t="n">
        <v>120.5</v>
      </c>
      <c r="G20" s="37" t="n">
        <v>0.205</v>
      </c>
      <c r="H20" s="38" t="inlineStr">
        <is>
          <t>P3 · MEDIO</t>
        </is>
      </c>
      <c r="I20" s="36" t="inlineStr">
        <is>
          <t>divergencia &gt;15 % · revisar_recepcion_y_promedio · Respaldo: Factura 123
Factura 123</t>
        </is>
      </c>
      <c r="J20" s="28" t="inlineStr">
        <is>
          <t>Pendiente</t>
        </is>
      </c>
      <c r="K20" s="28" t="n"/>
    </row>
    <row r="21">
      <c r="A21" s="20" t="inlineStr">
        <is>
          <t>CERVEZA</t>
        </is>
      </c>
      <c r="B21" s="21" t="inlineStr">
        <is>
          <t>Producto 40006 — Variante 40006</t>
        </is>
      </c>
      <c r="C21" s="22" t="inlineStr">
        <is>
          <t>7800000040006</t>
        </is>
      </c>
      <c r="D21" s="23" t="n">
        <v>10</v>
      </c>
      <c r="E21" s="24" t="n">
        <v>100</v>
      </c>
      <c r="F21" s="24" t="n">
        <v>120.5</v>
      </c>
      <c r="G21" s="37" t="n">
        <v>0.205</v>
      </c>
      <c r="H21" s="38" t="inlineStr">
        <is>
          <t>P3 · MEDIO</t>
        </is>
      </c>
      <c r="I21" s="27" t="inlineStr">
        <is>
          <t>divergencia &gt;15 % · revisar_recepcion_y_promedio · Respaldo: Factura 123
Factura 123</t>
        </is>
      </c>
      <c r="J21" s="28" t="inlineStr">
        <is>
          <t>Pendiente</t>
        </is>
      </c>
      <c r="K21" s="28" t="n"/>
    </row>
    <row r="22">
      <c r="A22" s="29" t="inlineStr">
        <is>
          <t>CERVEZA</t>
        </is>
      </c>
      <c r="B22" s="30" t="inlineStr">
        <is>
          <t>Producto 40007 — Variante 40007</t>
        </is>
      </c>
      <c r="C22" s="31" t="inlineStr">
        <is>
          <t>7800000040007</t>
        </is>
      </c>
      <c r="D22" s="32" t="n">
        <v>10</v>
      </c>
      <c r="E22" s="33" t="n">
        <v>100</v>
      </c>
      <c r="F22" s="33" t="n">
        <v>120.5</v>
      </c>
      <c r="G22" s="37" t="n">
        <v>0.205</v>
      </c>
      <c r="H22" s="38" t="inlineStr">
        <is>
          <t>P3 · MEDIO</t>
        </is>
      </c>
      <c r="I22" s="36" t="inlineStr">
        <is>
          <t>divergencia &gt;15 % · revisar_recepcion_y_promedio · Respaldo: Factura 123
Factura 123</t>
        </is>
      </c>
      <c r="J22" s="28" t="inlineStr">
        <is>
          <t>Pendiente</t>
        </is>
      </c>
      <c r="K22" s="28" t="n"/>
    </row>
    <row r="23">
      <c r="A23" s="20" t="inlineStr">
        <is>
          <t>CERVEZA</t>
        </is>
      </c>
      <c r="B23" s="21" t="inlineStr">
        <is>
          <t>Producto 40008 — Variante 40008</t>
        </is>
      </c>
      <c r="C23" s="22" t="inlineStr">
        <is>
          <t>7800000040008</t>
        </is>
      </c>
      <c r="D23" s="23" t="n">
        <v>10</v>
      </c>
      <c r="E23" s="24" t="n">
        <v>100</v>
      </c>
      <c r="F23" s="24" t="n">
        <v>120.5</v>
      </c>
      <c r="G23" s="37" t="n">
        <v>0.205</v>
      </c>
      <c r="H23" s="38" t="inlineStr">
        <is>
          <t>P3 · MEDIO</t>
        </is>
      </c>
      <c r="I23" s="27" t="inlineStr">
        <is>
          <t>divergencia &gt;15 % · revisar_recepcion_y_promedio · Respaldo: Factura 123
Factura 123</t>
        </is>
      </c>
      <c r="J23" s="28" t="inlineStr">
        <is>
          <t>Pendiente</t>
        </is>
      </c>
      <c r="K23" s="28" t="n"/>
    </row>
    <row r="24">
      <c r="A24" s="29" t="inlineStr">
        <is>
          <t>CERVEZA</t>
        </is>
      </c>
      <c r="B24" s="30" t="inlineStr">
        <is>
          <t>Producto 40009 — Variante 40009</t>
        </is>
      </c>
      <c r="C24" s="31" t="inlineStr">
        <is>
          <t>7800000040009</t>
        </is>
      </c>
      <c r="D24" s="32" t="n">
        <v>10</v>
      </c>
      <c r="E24" s="33" t="n">
        <v>100</v>
      </c>
      <c r="F24" s="33" t="n">
        <v>120.5</v>
      </c>
      <c r="G24" s="37" t="n">
        <v>0.205</v>
      </c>
      <c r="H24" s="38" t="inlineStr">
        <is>
          <t>P3 · MEDIO</t>
        </is>
      </c>
      <c r="I24" s="36" t="inlineStr">
        <is>
          <t>divergencia &gt;15 % · revisar_recepcion_y_promedio · Respaldo: Factura 123
Factura 123</t>
        </is>
      </c>
      <c r="J24" s="28" t="inlineStr">
        <is>
          <t>Pendiente</t>
        </is>
      </c>
      <c r="K24" s="28" t="n"/>
    </row>
    <row r="25">
      <c r="A25" s="20" t="inlineStr">
        <is>
          <t>CERVEZA</t>
        </is>
      </c>
      <c r="B25" s="21" t="inlineStr">
        <is>
          <t>Producto 40010 — Variante 40010</t>
        </is>
      </c>
      <c r="C25" s="22" t="inlineStr">
        <is>
          <t>7800000040010</t>
        </is>
      </c>
      <c r="D25" s="23" t="n">
        <v>10</v>
      </c>
      <c r="E25" s="24" t="n">
        <v>100</v>
      </c>
      <c r="F25" s="24" t="n">
        <v>120.5</v>
      </c>
      <c r="G25" s="37" t="n">
        <v>0.205</v>
      </c>
      <c r="H25" s="38" t="inlineStr">
        <is>
          <t>P3 · MEDIO</t>
        </is>
      </c>
      <c r="I25" s="27" t="inlineStr">
        <is>
          <t>divergencia &gt;15 % · revisar_recepcion_y_promedio · Respaldo: Factura 123
Factura 123</t>
        </is>
      </c>
      <c r="J25" s="28" t="inlineStr">
        <is>
          <t>Pendiente</t>
        </is>
      </c>
      <c r="K25" s="28" t="n"/>
    </row>
    <row r="26">
      <c r="A26" s="29" t="inlineStr">
        <is>
          <t>CERVEZA</t>
        </is>
      </c>
      <c r="B26" s="30" t="inlineStr">
        <is>
          <t>Producto 40011 — Variante 40011</t>
        </is>
      </c>
      <c r="C26" s="31" t="inlineStr">
        <is>
          <t>7800000040011</t>
        </is>
      </c>
      <c r="D26" s="32" t="n">
        <v>10</v>
      </c>
      <c r="E26" s="33" t="n">
        <v>100</v>
      </c>
      <c r="F26" s="33" t="n">
        <v>120.5</v>
      </c>
      <c r="G26" s="37" t="n">
        <v>0.205</v>
      </c>
      <c r="H26" s="38" t="inlineStr">
        <is>
          <t>P3 · MEDIO</t>
        </is>
      </c>
      <c r="I26" s="36" t="inlineStr">
        <is>
          <t>divergencia &gt;15 % · revisar_recepcion_y_promedio · Respaldo: Factura 123
Factura 123</t>
        </is>
      </c>
      <c r="J26" s="28" t="inlineStr">
        <is>
          <t>Pendiente</t>
        </is>
      </c>
      <c r="K26" s="28" t="n"/>
    </row>
    <row r="27">
      <c r="A27" s="20" t="inlineStr">
        <is>
          <t>CERVEZA</t>
        </is>
      </c>
      <c r="B27" s="21" t="inlineStr">
        <is>
          <t>Producto 40012 — Variante 40012</t>
        </is>
      </c>
      <c r="C27" s="22" t="inlineStr">
        <is>
          <t>7800000040012</t>
        </is>
      </c>
      <c r="D27" s="23" t="n">
        <v>10</v>
      </c>
      <c r="E27" s="24" t="n">
        <v>100</v>
      </c>
      <c r="F27" s="24" t="n">
        <v>120.5</v>
      </c>
      <c r="G27" s="37" t="n">
        <v>0.205</v>
      </c>
      <c r="H27" s="38" t="inlineStr">
        <is>
          <t>P3 · MEDIO</t>
        </is>
      </c>
      <c r="I27" s="27" t="inlineStr">
        <is>
          <t>divergencia &gt;15 % · revisar_recepcion_y_promedio · Respaldo: Factura 123
Factura 123</t>
        </is>
      </c>
      <c r="J27" s="28" t="inlineStr">
        <is>
          <t>Pendiente</t>
        </is>
      </c>
      <c r="K27" s="28" t="n"/>
    </row>
    <row r="28">
      <c r="A28" s="29" t="inlineStr">
        <is>
          <t>CERVEZA</t>
        </is>
      </c>
      <c r="B28" s="30" t="inlineStr">
        <is>
          <t>Producto 40013 — Variante 40013</t>
        </is>
      </c>
      <c r="C28" s="31" t="inlineStr">
        <is>
          <t>7800000040013</t>
        </is>
      </c>
      <c r="D28" s="32" t="n">
        <v>10</v>
      </c>
      <c r="E28" s="33" t="n">
        <v>100</v>
      </c>
      <c r="F28" s="33" t="n">
        <v>120.5</v>
      </c>
      <c r="G28" s="37" t="n">
        <v>0.205</v>
      </c>
      <c r="H28" s="38" t="inlineStr">
        <is>
          <t>P3 · MEDIO</t>
        </is>
      </c>
      <c r="I28" s="36" t="inlineStr">
        <is>
          <t>divergencia &gt;15 % · revisar_recepcion_y_promedio · Respaldo: Factura 123
Factura 123</t>
        </is>
      </c>
      <c r="J28" s="28" t="inlineStr">
        <is>
          <t>Pendiente</t>
        </is>
      </c>
      <c r="K28" s="28" t="n"/>
    </row>
    <row r="29">
      <c r="A29" s="20" t="inlineStr">
        <is>
          <t>CERVEZA</t>
        </is>
      </c>
      <c r="B29" s="21" t="inlineStr">
        <is>
          <t>Producto 40014 — Variante 40014</t>
        </is>
      </c>
      <c r="C29" s="22" t="inlineStr">
        <is>
          <t>7800000040014</t>
        </is>
      </c>
      <c r="D29" s="23" t="n">
        <v>10</v>
      </c>
      <c r="E29" s="24" t="n">
        <v>100</v>
      </c>
      <c r="F29" s="24" t="n">
        <v>120.5</v>
      </c>
      <c r="G29" s="37" t="n">
        <v>0.205</v>
      </c>
      <c r="H29" s="38" t="inlineStr">
        <is>
          <t>P3 · MEDIO</t>
        </is>
      </c>
      <c r="I29" s="27" t="inlineStr">
        <is>
          <t>divergencia &gt;15 % · revisar_recepcion_y_promedio · Respaldo: Factura 123
Factura 123</t>
        </is>
      </c>
      <c r="J29" s="28" t="inlineStr">
        <is>
          <t>Pendiente</t>
        </is>
      </c>
      <c r="K29" s="28" t="n"/>
    </row>
    <row r="30">
      <c r="A30" s="29" t="inlineStr">
        <is>
          <t>CERVEZA</t>
        </is>
      </c>
      <c r="B30" s="30" t="inlineStr">
        <is>
          <t>Producto 40015 — Variante 40015</t>
        </is>
      </c>
      <c r="C30" s="31" t="inlineStr">
        <is>
          <t>7800000040015</t>
        </is>
      </c>
      <c r="D30" s="32" t="n">
        <v>10</v>
      </c>
      <c r="E30" s="33" t="n">
        <v>100</v>
      </c>
      <c r="F30" s="33" t="n">
        <v>120.5</v>
      </c>
      <c r="G30" s="37" t="n">
        <v>0.205</v>
      </c>
      <c r="H30" s="38" t="inlineStr">
        <is>
          <t>P3 · MEDIO</t>
        </is>
      </c>
      <c r="I30" s="36" t="inlineStr">
        <is>
          <t>divergencia &gt;15 % · revisar_recepcion_y_promedio · Respaldo: Factura 123
Factura 123</t>
        </is>
      </c>
      <c r="J30" s="28" t="inlineStr">
        <is>
          <t>Pendiente</t>
        </is>
      </c>
      <c r="K30" s="28" t="n"/>
    </row>
    <row r="31">
      <c r="A31" s="20" t="inlineStr">
        <is>
          <t>CERVEZA</t>
        </is>
      </c>
      <c r="B31" s="21" t="inlineStr">
        <is>
          <t>Producto 40016 — Variante 40016</t>
        </is>
      </c>
      <c r="C31" s="22" t="inlineStr">
        <is>
          <t>7800000040016</t>
        </is>
      </c>
      <c r="D31" s="23" t="n">
        <v>10</v>
      </c>
      <c r="E31" s="24" t="n">
        <v>100</v>
      </c>
      <c r="F31" s="24" t="n">
        <v>120.5</v>
      </c>
      <c r="G31" s="37" t="n">
        <v>0.205</v>
      </c>
      <c r="H31" s="38" t="inlineStr">
        <is>
          <t>P3 · MEDIO</t>
        </is>
      </c>
      <c r="I31" s="27" t="inlineStr">
        <is>
          <t>divergencia &gt;15 % · revisar_recepcion_y_promedio · Respaldo: Factura 123
Factura 123</t>
        </is>
      </c>
      <c r="J31" s="28" t="inlineStr">
        <is>
          <t>Pendiente</t>
        </is>
      </c>
      <c r="K31" s="28" t="n"/>
    </row>
    <row r="32">
      <c r="A32" s="29" t="inlineStr">
        <is>
          <t>CERVEZA</t>
        </is>
      </c>
      <c r="B32" s="30" t="inlineStr">
        <is>
          <t>Producto 40017 — Variante 40017</t>
        </is>
      </c>
      <c r="C32" s="31" t="inlineStr">
        <is>
          <t>7800000040017</t>
        </is>
      </c>
      <c r="D32" s="32" t="n">
        <v>10</v>
      </c>
      <c r="E32" s="33" t="n">
        <v>100</v>
      </c>
      <c r="F32" s="33" t="n">
        <v>120.5</v>
      </c>
      <c r="G32" s="37" t="n">
        <v>0.205</v>
      </c>
      <c r="H32" s="38" t="inlineStr">
        <is>
          <t>P3 · MEDIO</t>
        </is>
      </c>
      <c r="I32" s="36" t="inlineStr">
        <is>
          <t>divergencia &gt;15 % · revisar_recepcion_y_promedio · Respaldo: Factura 123
Factura 123</t>
        </is>
      </c>
      <c r="J32" s="28" t="inlineStr">
        <is>
          <t>Pendiente</t>
        </is>
      </c>
      <c r="K32" s="28" t="n"/>
    </row>
    <row r="33">
      <c r="A33" s="20" t="inlineStr">
        <is>
          <t>CERVEZA</t>
        </is>
      </c>
      <c r="B33" s="21" t="inlineStr">
        <is>
          <t>Producto 40018 — Variante 40018</t>
        </is>
      </c>
      <c r="C33" s="22" t="inlineStr">
        <is>
          <t>7800000040018</t>
        </is>
      </c>
      <c r="D33" s="23" t="n">
        <v>10</v>
      </c>
      <c r="E33" s="24" t="n">
        <v>100</v>
      </c>
      <c r="F33" s="24" t="n">
        <v>120.5</v>
      </c>
      <c r="G33" s="37" t="n">
        <v>0.205</v>
      </c>
      <c r="H33" s="38" t="inlineStr">
        <is>
          <t>P3 · MEDIO</t>
        </is>
      </c>
      <c r="I33" s="27" t="inlineStr">
        <is>
          <t>divergencia &gt;15 % · revisar_recepcion_y_promedio · Respaldo: Factura 123
Factura 123</t>
        </is>
      </c>
      <c r="J33" s="28" t="inlineStr">
        <is>
          <t>Pendiente</t>
        </is>
      </c>
      <c r="K33" s="28" t="n"/>
    </row>
    <row r="34">
      <c r="A34" s="29" t="inlineStr">
        <is>
          <t>CERVEZA</t>
        </is>
      </c>
      <c r="B34" s="30" t="inlineStr">
        <is>
          <t>Producto 40019 — Variante 40019</t>
        </is>
      </c>
      <c r="C34" s="31" t="inlineStr">
        <is>
          <t>7800000040019</t>
        </is>
      </c>
      <c r="D34" s="32" t="n">
        <v>10</v>
      </c>
      <c r="E34" s="33" t="n">
        <v>100</v>
      </c>
      <c r="F34" s="33" t="n">
        <v>120.5</v>
      </c>
      <c r="G34" s="37" t="n">
        <v>0.205</v>
      </c>
      <c r="H34" s="38" t="inlineStr">
        <is>
          <t>P3 · MEDIO</t>
        </is>
      </c>
      <c r="I34" s="36" t="inlineStr">
        <is>
          <t>divergencia &gt;15 % · revisar_recepcion_y_promedio · Respaldo: Factura 123
Factura 123</t>
        </is>
      </c>
      <c r="J34" s="28" t="inlineStr">
        <is>
          <t>Pendiente</t>
        </is>
      </c>
      <c r="K34" s="28" t="n"/>
    </row>
    <row r="35">
      <c r="A35" s="20" t="inlineStr">
        <is>
          <t>CERVEZA</t>
        </is>
      </c>
      <c r="B35" s="21" t="inlineStr">
        <is>
          <t>Producto 40020 — Variante 40020</t>
        </is>
      </c>
      <c r="C35" s="22" t="inlineStr">
        <is>
          <t>7800000040020</t>
        </is>
      </c>
      <c r="D35" s="23" t="n">
        <v>10</v>
      </c>
      <c r="E35" s="24" t="n">
        <v>100</v>
      </c>
      <c r="F35" s="24" t="n">
        <v>120.5</v>
      </c>
      <c r="G35" s="37" t="n">
        <v>0.205</v>
      </c>
      <c r="H35" s="38" t="inlineStr">
        <is>
          <t>P3 · MEDIO</t>
        </is>
      </c>
      <c r="I35" s="27" t="inlineStr">
        <is>
          <t>divergencia &gt;15 % · revisar_recepcion_y_promedio · Respaldo: Factura 123
Factura 123</t>
        </is>
      </c>
      <c r="J35" s="28" t="inlineStr">
        <is>
          <t>Pendiente</t>
        </is>
      </c>
      <c r="K35" s="28" t="n"/>
    </row>
    <row r="36">
      <c r="A36" s="29" t="inlineStr">
        <is>
          <t>CERVEZA</t>
        </is>
      </c>
      <c r="B36" s="30" t="inlineStr">
        <is>
          <t>Producto 40021 — Variante 40021</t>
        </is>
      </c>
      <c r="C36" s="31" t="inlineStr">
        <is>
          <t>7800000040021</t>
        </is>
      </c>
      <c r="D36" s="32" t="n">
        <v>10</v>
      </c>
      <c r="E36" s="33" t="n">
        <v>100</v>
      </c>
      <c r="F36" s="33" t="n">
        <v>120.5</v>
      </c>
      <c r="G36" s="37" t="n">
        <v>0.205</v>
      </c>
      <c r="H36" s="38" t="inlineStr">
        <is>
          <t>P3 · MEDIO</t>
        </is>
      </c>
      <c r="I36" s="36" t="inlineStr">
        <is>
          <t>divergencia &gt;15 % · revisar_recepcion_y_promedio · Respaldo: Factura 123
Factura 123</t>
        </is>
      </c>
      <c r="J36" s="28" t="inlineStr">
        <is>
          <t>Pendiente</t>
        </is>
      </c>
      <c r="K36" s="28" t="n"/>
    </row>
    <row r="37">
      <c r="A37" s="20" t="inlineStr">
        <is>
          <t>CERVEZA</t>
        </is>
      </c>
      <c r="B37" s="21" t="inlineStr">
        <is>
          <t>Producto 40022 — Variante 40022</t>
        </is>
      </c>
      <c r="C37" s="22" t="inlineStr">
        <is>
          <t>7800000040022</t>
        </is>
      </c>
      <c r="D37" s="23" t="n">
        <v>10</v>
      </c>
      <c r="E37" s="24" t="n">
        <v>100</v>
      </c>
      <c r="F37" s="24" t="n">
        <v>120.5</v>
      </c>
      <c r="G37" s="37" t="n">
        <v>0.205</v>
      </c>
      <c r="H37" s="38" t="inlineStr">
        <is>
          <t>P3 · MEDIO</t>
        </is>
      </c>
      <c r="I37" s="27" t="inlineStr">
        <is>
          <t>divergencia &gt;15 % · revisar_recepcion_y_promedio · Respaldo: Factura 123
Factura 123</t>
        </is>
      </c>
      <c r="J37" s="28" t="inlineStr">
        <is>
          <t>Pendiente</t>
        </is>
      </c>
      <c r="K37" s="28" t="n"/>
    </row>
    <row r="38">
      <c r="A38" s="29" t="inlineStr">
        <is>
          <t>CERVEZA</t>
        </is>
      </c>
      <c r="B38" s="30" t="inlineStr">
        <is>
          <t>Producto 40023 — Variante 40023</t>
        </is>
      </c>
      <c r="C38" s="31" t="inlineStr">
        <is>
          <t>7800000040023</t>
        </is>
      </c>
      <c r="D38" s="32" t="n">
        <v>10</v>
      </c>
      <c r="E38" s="33" t="n">
        <v>100</v>
      </c>
      <c r="F38" s="33" t="n">
        <v>120.5</v>
      </c>
      <c r="G38" s="37" t="n">
        <v>0.205</v>
      </c>
      <c r="H38" s="38" t="inlineStr">
        <is>
          <t>P3 · MEDIO</t>
        </is>
      </c>
      <c r="I38" s="36" t="inlineStr">
        <is>
          <t>divergencia &gt;15 % · revisar_recepcion_y_promedio · Respaldo: Factura 123
Factura 123</t>
        </is>
      </c>
      <c r="J38" s="28" t="inlineStr">
        <is>
          <t>Pendiente</t>
        </is>
      </c>
      <c r="K38" s="28" t="n"/>
    </row>
    <row r="39">
      <c r="A39" s="20" t="inlineStr">
        <is>
          <t>CERVEZA</t>
        </is>
      </c>
      <c r="B39" s="21" t="inlineStr">
        <is>
          <t>Producto 40024 — Variante 40024</t>
        </is>
      </c>
      <c r="C39" s="22" t="inlineStr">
        <is>
          <t>7800000040024</t>
        </is>
      </c>
      <c r="D39" s="23" t="n">
        <v>10</v>
      </c>
      <c r="E39" s="24" t="n">
        <v>100</v>
      </c>
      <c r="F39" s="24" t="n">
        <v>120.5</v>
      </c>
      <c r="G39" s="37" t="n">
        <v>0.205</v>
      </c>
      <c r="H39" s="38" t="inlineStr">
        <is>
          <t>P3 · MEDIO</t>
        </is>
      </c>
      <c r="I39" s="27" t="inlineStr">
        <is>
          <t>divergencia &gt;15 % · revisar_recepcion_y_promedio · Respaldo: Factura 123
Factura 123</t>
        </is>
      </c>
      <c r="J39" s="28" t="inlineStr">
        <is>
          <t>Pendiente</t>
        </is>
      </c>
      <c r="K39" s="28" t="n"/>
    </row>
    <row r="40">
      <c r="A40" s="29" t="inlineStr">
        <is>
          <t>CERVEZA</t>
        </is>
      </c>
      <c r="B40" s="30" t="inlineStr">
        <is>
          <t>Producto 40025 — Variante 40025</t>
        </is>
      </c>
      <c r="C40" s="31" t="inlineStr">
        <is>
          <t>7800000040025</t>
        </is>
      </c>
      <c r="D40" s="32" t="n">
        <v>10</v>
      </c>
      <c r="E40" s="33" t="n">
        <v>100</v>
      </c>
      <c r="F40" s="33" t="n">
        <v>120.5</v>
      </c>
      <c r="G40" s="37" t="n">
        <v>0.205</v>
      </c>
      <c r="H40" s="38" t="inlineStr">
        <is>
          <t>P3 · MEDIO</t>
        </is>
      </c>
      <c r="I40" s="36" t="inlineStr">
        <is>
          <t>divergencia &gt;15 % · revisar_recepcion_y_promedio · Respaldo: Factura 123
Factura 123</t>
        </is>
      </c>
      <c r="J40" s="28" t="inlineStr">
        <is>
          <t>Pendiente</t>
        </is>
      </c>
      <c r="K40" s="28" t="n"/>
    </row>
    <row r="41">
      <c r="A41" s="20" t="inlineStr">
        <is>
          <t>CERVEZA</t>
        </is>
      </c>
      <c r="B41" s="21" t="inlineStr">
        <is>
          <t>Producto 40026 — Variante 40026</t>
        </is>
      </c>
      <c r="C41" s="22" t="inlineStr">
        <is>
          <t>7800000040026</t>
        </is>
      </c>
      <c r="D41" s="23" t="n">
        <v>10</v>
      </c>
      <c r="E41" s="24" t="n">
        <v>100</v>
      </c>
      <c r="F41" s="24" t="n">
        <v>120.5</v>
      </c>
      <c r="G41" s="37" t="n">
        <v>0.205</v>
      </c>
      <c r="H41" s="38" t="inlineStr">
        <is>
          <t>P3 · MEDIO</t>
        </is>
      </c>
      <c r="I41" s="27" t="inlineStr">
        <is>
          <t>divergencia &gt;15 % · revisar_recepcion_y_promedio · Respaldo: Factura 123
Factura 123</t>
        </is>
      </c>
      <c r="J41" s="28" t="inlineStr">
        <is>
          <t>Pendiente</t>
        </is>
      </c>
      <c r="K41" s="28" t="n"/>
    </row>
    <row r="42">
      <c r="A42" s="29" t="inlineStr">
        <is>
          <t>CERVEZA</t>
        </is>
      </c>
      <c r="B42" s="30" t="inlineStr">
        <is>
          <t>Producto 40027 — Variante 40027</t>
        </is>
      </c>
      <c r="C42" s="31" t="inlineStr">
        <is>
          <t>7800000040027</t>
        </is>
      </c>
      <c r="D42" s="32" t="n">
        <v>10</v>
      </c>
      <c r="E42" s="33" t="n">
        <v>100</v>
      </c>
      <c r="F42" s="33" t="n">
        <v>120.5</v>
      </c>
      <c r="G42" s="37" t="n">
        <v>0.205</v>
      </c>
      <c r="H42" s="38" t="inlineStr">
        <is>
          <t>P3 · MEDIO</t>
        </is>
      </c>
      <c r="I42" s="36" t="inlineStr">
        <is>
          <t>divergencia &gt;15 % · revisar_recepcion_y_promedio · Respaldo: Factura 123
Factura 123</t>
        </is>
      </c>
      <c r="J42" s="28" t="inlineStr">
        <is>
          <t>Pendiente</t>
        </is>
      </c>
      <c r="K42" s="28" t="n"/>
    </row>
    <row r="43">
      <c r="A43" s="20" t="inlineStr">
        <is>
          <t>CERVEZA</t>
        </is>
      </c>
      <c r="B43" s="21" t="inlineStr">
        <is>
          <t>Producto 40028 — Variante 40028</t>
        </is>
      </c>
      <c r="C43" s="22" t="inlineStr">
        <is>
          <t>7800000040028</t>
        </is>
      </c>
      <c r="D43" s="23" t="n">
        <v>10</v>
      </c>
      <c r="E43" s="24" t="n">
        <v>100</v>
      </c>
      <c r="F43" s="24" t="n">
        <v>120.5</v>
      </c>
      <c r="G43" s="37" t="n">
        <v>0.205</v>
      </c>
      <c r="H43" s="38" t="inlineStr">
        <is>
          <t>P3 · MEDIO</t>
        </is>
      </c>
      <c r="I43" s="27" t="inlineStr">
        <is>
          <t>divergencia &gt;15 % · revisar_recepcion_y_promedio · Respaldo: Factura 123
Factura 123</t>
        </is>
      </c>
      <c r="J43" s="28" t="inlineStr">
        <is>
          <t>Pendiente</t>
        </is>
      </c>
      <c r="K43" s="28" t="n"/>
    </row>
    <row r="44">
      <c r="A44" s="29" t="inlineStr">
        <is>
          <t>CERVEZA</t>
        </is>
      </c>
      <c r="B44" s="30" t="inlineStr">
        <is>
          <t>Producto 40029 — Variante 40029</t>
        </is>
      </c>
      <c r="C44" s="31" t="inlineStr">
        <is>
          <t>7800000040029</t>
        </is>
      </c>
      <c r="D44" s="32" t="n">
        <v>10</v>
      </c>
      <c r="E44" s="33" t="n">
        <v>100</v>
      </c>
      <c r="F44" s="33" t="n">
        <v>120.5</v>
      </c>
      <c r="G44" s="37" t="n">
        <v>0.205</v>
      </c>
      <c r="H44" s="38" t="inlineStr">
        <is>
          <t>P3 · MEDIO</t>
        </is>
      </c>
      <c r="I44" s="36" t="inlineStr">
        <is>
          <t>divergencia &gt;15 % · revisar_recepcion_y_promedio · Respaldo: Factura 123
Factura 123</t>
        </is>
      </c>
      <c r="J44" s="28" t="inlineStr">
        <is>
          <t>Pendiente</t>
        </is>
      </c>
      <c r="K44" s="28" t="n"/>
    </row>
    <row r="45">
      <c r="A45" s="20" t="inlineStr">
        <is>
          <t>CERVEZA</t>
        </is>
      </c>
      <c r="B45" s="21" t="inlineStr">
        <is>
          <t>Producto 40030 — Variante 40030</t>
        </is>
      </c>
      <c r="C45" s="22" t="inlineStr">
        <is>
          <t>7800000040030</t>
        </is>
      </c>
      <c r="D45" s="23" t="n">
        <v>10</v>
      </c>
      <c r="E45" s="24" t="n">
        <v>100</v>
      </c>
      <c r="F45" s="24" t="n">
        <v>120.5</v>
      </c>
      <c r="G45" s="37" t="n">
        <v>0.205</v>
      </c>
      <c r="H45" s="38" t="inlineStr">
        <is>
          <t>P3 · MEDIO</t>
        </is>
      </c>
      <c r="I45" s="27" t="inlineStr">
        <is>
          <t>divergencia &gt;15 % · revisar_recepcion_y_promedio · Respaldo: Factura 123
Factura 123</t>
        </is>
      </c>
      <c r="J45" s="28" t="inlineStr">
        <is>
          <t>Pendiente</t>
        </is>
      </c>
      <c r="K45" s="28" t="n"/>
    </row>
    <row r="46">
      <c r="A46" s="29" t="inlineStr">
        <is>
          <t>CERVEZA</t>
        </is>
      </c>
      <c r="B46" s="30" t="inlineStr">
        <is>
          <t>Producto 40031 — Variante 40031</t>
        </is>
      </c>
      <c r="C46" s="31" t="inlineStr">
        <is>
          <t>7800000040031</t>
        </is>
      </c>
      <c r="D46" s="32" t="n">
        <v>10</v>
      </c>
      <c r="E46" s="33" t="n">
        <v>100</v>
      </c>
      <c r="F46" s="33" t="n">
        <v>120.5</v>
      </c>
      <c r="G46" s="37" t="n">
        <v>0.205</v>
      </c>
      <c r="H46" s="38" t="inlineStr">
        <is>
          <t>P3 · MEDIO</t>
        </is>
      </c>
      <c r="I46" s="36" t="inlineStr">
        <is>
          <t>divergencia &gt;15 % · revisar_recepcion_y_promedio · Respaldo: Factura 123
Factura 123</t>
        </is>
      </c>
      <c r="J46" s="28" t="inlineStr">
        <is>
          <t>Pendiente</t>
        </is>
      </c>
      <c r="K46" s="28" t="n"/>
    </row>
    <row r="47">
      <c r="A47" s="20" t="inlineStr">
        <is>
          <t>CERVEZA</t>
        </is>
      </c>
      <c r="B47" s="21" t="inlineStr">
        <is>
          <t>Producto 40032 — Variante 40032</t>
        </is>
      </c>
      <c r="C47" s="22" t="inlineStr">
        <is>
          <t>7800000040032</t>
        </is>
      </c>
      <c r="D47" s="23" t="n">
        <v>10</v>
      </c>
      <c r="E47" s="24" t="n">
        <v>100</v>
      </c>
      <c r="F47" s="24" t="n">
        <v>120.5</v>
      </c>
      <c r="G47" s="37" t="n">
        <v>0.205</v>
      </c>
      <c r="H47" s="38" t="inlineStr">
        <is>
          <t>P3 · MEDIO</t>
        </is>
      </c>
      <c r="I47" s="27" t="inlineStr">
        <is>
          <t>divergencia &gt;15 % · revisar_recepcion_y_promedio · Respaldo: Factura 123
Factura 123</t>
        </is>
      </c>
      <c r="J47" s="28" t="inlineStr">
        <is>
          <t>Pendiente</t>
        </is>
      </c>
      <c r="K47" s="28" t="n"/>
    </row>
    <row r="48">
      <c r="A48" s="29" t="inlineStr">
        <is>
          <t>CERVEZA</t>
        </is>
      </c>
      <c r="B48" s="30" t="inlineStr">
        <is>
          <t>Producto 40033 — Variante 40033</t>
        </is>
      </c>
      <c r="C48" s="31" t="inlineStr">
        <is>
          <t>7800000040033</t>
        </is>
      </c>
      <c r="D48" s="32" t="n">
        <v>10</v>
      </c>
      <c r="E48" s="33" t="n">
        <v>100</v>
      </c>
      <c r="F48" s="33" t="n">
        <v>120.5</v>
      </c>
      <c r="G48" s="37" t="n">
        <v>0.205</v>
      </c>
      <c r="H48" s="38" t="inlineStr">
        <is>
          <t>P3 · MEDIO</t>
        </is>
      </c>
      <c r="I48" s="36" t="inlineStr">
        <is>
          <t>divergencia &gt;15 % · revisar_recepcion_y_promedio · Respaldo: Factura 123
Factura 123</t>
        </is>
      </c>
      <c r="J48" s="28" t="inlineStr">
        <is>
          <t>Pendiente</t>
        </is>
      </c>
      <c r="K48" s="28" t="n"/>
    </row>
    <row r="49">
      <c r="A49" s="20" t="inlineStr">
        <is>
          <t>CERVEZA</t>
        </is>
      </c>
      <c r="B49" s="21" t="inlineStr">
        <is>
          <t>Producto 40034 — Variante 40034</t>
        </is>
      </c>
      <c r="C49" s="22" t="inlineStr">
        <is>
          <t>7800000040034</t>
        </is>
      </c>
      <c r="D49" s="23" t="n">
        <v>10</v>
      </c>
      <c r="E49" s="24" t="n">
        <v>100</v>
      </c>
      <c r="F49" s="24" t="n">
        <v>120.5</v>
      </c>
      <c r="G49" s="37" t="n">
        <v>0.205</v>
      </c>
      <c r="H49" s="38" t="inlineStr">
        <is>
          <t>P3 · MEDIO</t>
        </is>
      </c>
      <c r="I49" s="27" t="inlineStr">
        <is>
          <t>divergencia &gt;15 % · revisar_recepcion_y_promedio · Respaldo: Factura 123
Factura 123</t>
        </is>
      </c>
      <c r="J49" s="28" t="inlineStr">
        <is>
          <t>Pendiente</t>
        </is>
      </c>
      <c r="K49" s="28" t="n"/>
    </row>
  </sheetData>
  <autoFilter ref="A8:K49"/>
  <mergeCells count="10">
    <mergeCell ref="F3:G3"/>
    <mergeCell ref="A6:K6"/>
    <mergeCell ref="J3:K3"/>
    <mergeCell ref="A4:K4"/>
    <mergeCell ref="A2:K2"/>
    <mergeCell ref="A3:C3"/>
    <mergeCell ref="A5:K5"/>
    <mergeCell ref="D3:E3"/>
    <mergeCell ref="A1:K1"/>
    <mergeCell ref="H3:I3"/>
  </mergeCells>
  <dataValidations count="1">
    <dataValidation sqref="J9:J49" showDropDown="0" showInputMessage="0" showErrorMessage="1" allowBlank="1" errorTitle="Estado inválido" error="Seleccione un estado de la lista." type="list">
      <formula1>"Pendiente,En revisión,Revisado sin error,Corrección necesaria,Corrección aplicada"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 ht="28" customHeight="1">
      <c r="A1" s="1" t="inlineStr">
        <is>
          <t>LA QUILLOTANA  /  REVISIÓN INTELIGENTE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INFORME OPERATIVO DE COSTOS  ·  EMPRESA 3  ·  FOTO AL 2026-10-26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39" t="n">
        <v>41</v>
      </c>
      <c r="B4" s="6" t="n"/>
      <c r="C4" s="6" t="n"/>
      <c r="D4" s="6" t="n"/>
      <c r="E4" s="40" t="n">
        <v>4</v>
      </c>
      <c r="F4" s="8" t="n"/>
      <c r="G4" s="8" t="n"/>
      <c r="H4" s="8" t="n"/>
      <c r="I4" s="41" t="n">
        <v>50</v>
      </c>
      <c r="J4" s="14" t="n"/>
      <c r="K4" s="14" t="n"/>
      <c r="L4" s="14" t="n"/>
    </row>
    <row r="5">
      <c r="A5" s="5" t="inlineStr">
        <is>
          <t>ALERTAS POR REVISAR</t>
        </is>
      </c>
      <c r="B5" s="6" t="n"/>
      <c r="C5" s="6" t="n"/>
      <c r="D5" s="6" t="n"/>
      <c r="E5" s="7" t="inlineStr">
        <is>
          <t>P1 CRÍTICOS</t>
        </is>
      </c>
      <c r="F5" s="8" t="n"/>
      <c r="G5" s="8" t="n"/>
      <c r="H5" s="8" t="n"/>
      <c r="I5" s="13" t="inlineStr">
        <is>
          <t>VARIANTES CON STOCK¹</t>
        </is>
      </c>
      <c r="J5" s="14" t="n"/>
      <c r="K5" s="14" t="n"/>
      <c r="L5" s="14" t="n"/>
    </row>
    <row r="7">
      <c r="A7" s="40" t="n">
        <v>4</v>
      </c>
      <c r="B7" s="8" t="n"/>
      <c r="C7" s="8" t="n"/>
      <c r="D7" s="8" t="n"/>
      <c r="E7" s="42" t="n">
        <v>0</v>
      </c>
      <c r="F7" s="10" t="n"/>
      <c r="G7" s="10" t="n"/>
      <c r="H7" s="10" t="n"/>
      <c r="I7" s="43" t="n">
        <v>1</v>
      </c>
      <c r="J7" s="12" t="n"/>
      <c r="K7" s="12" t="n"/>
      <c r="L7" s="12" t="n"/>
    </row>
    <row r="8">
      <c r="A8" s="7" t="inlineStr">
        <is>
          <t>CRÍTICOS² (P1 O EXTREMOS)</t>
        </is>
      </c>
      <c r="B8" s="8" t="n"/>
      <c r="C8" s="8" t="n"/>
      <c r="D8" s="8" t="n"/>
      <c r="E8" s="9" t="inlineStr">
        <is>
          <t>PENDIENTES DE VERIFICAR¹</t>
        </is>
      </c>
      <c r="F8" s="10" t="n"/>
      <c r="G8" s="10" t="n"/>
      <c r="H8" s="10" t="n"/>
      <c r="I8" s="11" t="inlineStr">
        <is>
          <t>SIN COMPRA COMPARABLE¹</t>
        </is>
      </c>
      <c r="J8" s="12" t="n"/>
      <c r="K8" s="12" t="n"/>
      <c r="L8" s="12" t="n"/>
    </row>
    <row r="10">
      <c r="A10" s="44" t="inlineStr">
        <is>
          <t>PROGRESO DE REVISIÓN — se actualiza al cambiar los estados de la hoja «Por revisar»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5" t="inlineStr">
        <is>
          <t>PENDIENTES</t>
        </is>
      </c>
      <c r="B11" s="6" t="n"/>
      <c r="C11" s="6" t="n"/>
      <c r="D11" s="6" t="n"/>
      <c r="E11" s="45" t="inlineStr">
        <is>
          <t>EN REVISIÓN</t>
        </is>
      </c>
      <c r="F11" s="6" t="n"/>
      <c r="G11" s="6" t="n"/>
      <c r="H11" s="6" t="n"/>
      <c r="I11" s="45" t="inlineStr">
        <is>
          <t>CERRADOS</t>
        </is>
      </c>
      <c r="J11" s="6" t="n"/>
      <c r="K11" s="6" t="n"/>
      <c r="L11" s="6" t="n"/>
    </row>
    <row r="12">
      <c r="A12" s="46">
        <f>COUNTIF('Por revisar'!$J$9:$J$49,"Pendiente")</f>
        <v/>
      </c>
      <c r="E12" s="46">
        <f>COUNTIF('Por revisar'!$J$9:$J$49,"En revisión")</f>
        <v/>
      </c>
      <c r="I12" s="46">
        <f>COUNTIF('Por revisar'!$J$9:$J$49,"Revisado sin error")+COUNTIF('Por revisar'!$J$9:$J$49,"Corrección aplicada")</f>
        <v/>
      </c>
    </row>
    <row r="14">
      <c r="A14" s="44" t="inlineStr">
        <is>
          <t>CÓMO USAR ESTE ARCHIVO  /  EN 3 PASOS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7" t="inlineStr">
        <is>
          <t>1. En «Por revisar», filtre por PRIORIDAD (P1 primero).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>
      <c r="A16" s="47" t="inlineStr">
        <is>
          <t>2. Contraste factura / unidad / presentación (SEC) con el costo promedio Bsale.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47" t="inlineStr">
        <is>
          <t>3. Cambie ESTADO y deje OBSERVACIÓN. Editar el Excel NO actualiza la ERP ni Bsale.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>
      <c r="A18" s="47" t="inlineStr">
        <is>
          <t>Diferencias &gt;15 % en este corte: 40 · Stock positivo sin costo válido: 1.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47" t="inlineStr">
        <is>
          <t>¹ Universo operativo CON STOCK (no mezclar con totales GLOBAL de catálogo).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47" t="inlineStr">
        <is>
          <t>² Críticos = prioridad P1, extremos o stock positivo sin costo válido.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47" t="inlineStr">
        <is>
          <t>Las alertas son señales de revisión; no son errores confirmados ni órdenes automáticas.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>
      <c r="A22" s="47" t="inlineStr">
        <is>
          <t>ALERTA ≠ ERROR CONFIRMADO. Editar el Excel no constituye corrección en Bsale ni PostgreSQL.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</sheetData>
  <mergeCells count="30">
    <mergeCell ref="A5:D5"/>
    <mergeCell ref="A16:L16"/>
    <mergeCell ref="A8:D8"/>
    <mergeCell ref="I8:L8"/>
    <mergeCell ref="A4:D4"/>
    <mergeCell ref="I4:L4"/>
    <mergeCell ref="E7:H7"/>
    <mergeCell ref="A18:L18"/>
    <mergeCell ref="A21:L21"/>
    <mergeCell ref="A2:L2"/>
    <mergeCell ref="E12:H12"/>
    <mergeCell ref="A14:L14"/>
    <mergeCell ref="A22:L22"/>
    <mergeCell ref="A17:L17"/>
    <mergeCell ref="A11:D11"/>
    <mergeCell ref="I11:L11"/>
    <mergeCell ref="E5:H5"/>
    <mergeCell ref="A20:L20"/>
    <mergeCell ref="A10:L10"/>
    <mergeCell ref="E8:H8"/>
    <mergeCell ref="A19:L19"/>
    <mergeCell ref="E4:H4"/>
    <mergeCell ref="A7:D7"/>
    <mergeCell ref="I7:L7"/>
    <mergeCell ref="A15:L15"/>
    <mergeCell ref="A12:D12"/>
    <mergeCell ref="A1:L1"/>
    <mergeCell ref="I12:L12"/>
    <mergeCell ref="E11:H11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2026-10-26T01:36:29Z</dcterms:created>
  <dcterms:modified xsi:type="dcterms:W3CDTF">2026-10-26T01:36:29Z</dcterms:modified>
</cp:coreProperties>
</file>