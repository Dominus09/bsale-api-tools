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ríticos y anomalías" sheetId="2" state="visible" r:id="rId2"/>
    <sheet name="Activos costo cero" sheetId="3" state="visible" r:id="rId3"/>
    <sheet name="Promedio vs recepciones" sheetId="4" state="visible" r:id="rId4"/>
    <sheet name="Integridad y sincronización" sheetId="5" state="visible" r:id="rId5"/>
    <sheet name="Revisión administrativa" sheetId="6" state="visible" r:id="rId6"/>
  </sheets>
  <definedNames>
    <definedName name="_xlnm._FilterDatabase" localSheetId="1" hidden="1">'Críticos y anomalías'!$A$5:$X$45</definedName>
    <definedName name="_xlnm._FilterDatabase" localSheetId="2" hidden="1">'Activos costo cero'!$A$5:$T$8</definedName>
    <definedName name="_xlnm._FilterDatabase" localSheetId="3" hidden="1">'Promedio vs recepciones'!$A$5:$T$47</definedName>
    <definedName name="_xlnm._FilterDatabase" localSheetId="5" hidden="1">'Revisión administrativa'!$A$5:$N$45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\(#,##0\);&quot;—&quot;"/>
    <numFmt numFmtId="165" formatCode="&quot;$&quot;\ #,##0.00;[Red]\(&quot;$&quot;\ #,##0.00\);&quot;—&quot;"/>
    <numFmt numFmtId="166" formatCode="\+0.0%;[Red]\-0.0%;&quot;—&quot;"/>
    <numFmt numFmtId="167" formatCode="yyyy-mm-dd"/>
    <numFmt numFmtId="168" formatCode="dd-mm-yyyy"/>
    <numFmt numFmtId="169" formatCode="&quot;$&quot;\ #,##0;[Red]\(&quot;$&quot;\ #,##0\);&quot;—&quot;"/>
  </numFmts>
  <fonts count="15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0"/>
    </font>
    <font>
      <b val="1"/>
      <color rgb="00FFFFFF"/>
      <sz val="19"/>
    </font>
    <font>
      <b val="1"/>
      <color rgb="00FFFFFF"/>
      <sz val="9"/>
    </font>
    <font>
      <color rgb="001B2637"/>
      <sz val="10"/>
    </font>
    <font>
      <color rgb="00536276"/>
      <sz val="9"/>
    </font>
    <font>
      <b val="1"/>
      <color rgb="00FFFFFF"/>
      <sz val="11"/>
    </font>
    <font>
      <sz val="9"/>
    </font>
    <font>
      <b val="1"/>
      <color rgb="00E3485C"/>
      <sz val="9"/>
    </font>
    <font>
      <b val="1"/>
      <color rgb="00E6A540"/>
      <sz val="9"/>
    </font>
    <font>
      <b val="1"/>
      <color rgb="003158A6"/>
      <sz val="9"/>
    </font>
    <font>
      <b val="1"/>
      <color rgb="00FFFFFF"/>
      <sz val="16"/>
    </font>
    <font>
      <i val="1"/>
      <color rgb="00536276"/>
      <sz val="9"/>
    </font>
    <font>
      <b val="1"/>
      <color rgb="003158A6"/>
      <sz val="10"/>
    </font>
  </fonts>
  <fills count="9">
    <fill>
      <patternFill/>
    </fill>
    <fill>
      <patternFill patternType="gray125"/>
    </fill>
    <fill>
      <patternFill patternType="solid">
        <fgColor rgb="00131C2B"/>
      </patternFill>
    </fill>
    <fill>
      <patternFill patternType="solid">
        <fgColor rgb="00202D3E"/>
      </patternFill>
    </fill>
    <fill>
      <patternFill patternType="solid">
        <fgColor rgb="00F8FAFD"/>
      </patternFill>
    </fill>
    <fill>
      <patternFill patternType="solid">
        <fgColor rgb="00F1F5FA"/>
      </patternFill>
    </fill>
    <fill>
      <patternFill patternType="solid">
        <fgColor rgb="00FFF0F2"/>
      </patternFill>
    </fill>
    <fill>
      <patternFill patternType="solid">
        <fgColor rgb="00EEF4FE"/>
      </patternFill>
    </fill>
    <fill>
      <patternFill patternType="solid">
        <fgColor rgb="00FFF7E8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3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0" fillId="5" borderId="0" pivotButton="0" quotePrefix="0" xfId="0"/>
    <xf numFmtId="49" fontId="0" fillId="0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6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0" fontId="10" fillId="8" borderId="1" applyAlignment="1" pivotButton="0" quotePrefix="0" xfId="0">
      <alignment vertical="center"/>
    </xf>
    <xf numFmtId="166" fontId="0" fillId="8" borderId="1" applyAlignment="1" pivotButton="0" quotePrefix="0" xfId="0">
      <alignment vertical="center"/>
    </xf>
    <xf numFmtId="0" fontId="11" fillId="7" borderId="1" applyAlignment="1" pivotButton="0" quotePrefix="0" xfId="0">
      <alignment vertical="center"/>
    </xf>
    <xf numFmtId="166" fontId="0" fillId="7" borderId="1" applyAlignment="1" pivotButton="0" quotePrefix="0" xfId="0">
      <alignment vertical="center"/>
    </xf>
    <xf numFmtId="0" fontId="5" fillId="8" borderId="0" applyAlignment="1" pivotButton="0" quotePrefix="0" xfId="0">
      <alignment vertical="center" wrapText="1"/>
    </xf>
    <xf numFmtId="0" fontId="0" fillId="8" borderId="0" pivotButton="0" quotePrefix="0" xfId="0"/>
    <xf numFmtId="169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49" fontId="0" fillId="4" borderId="1" applyAlignment="1" pivotButton="0" quotePrefix="0" xfId="0">
      <alignment vertical="center"/>
    </xf>
    <xf numFmtId="169" fontId="0" fillId="4" borderId="1" applyAlignment="1" pivotButton="0" quotePrefix="0" xfId="0">
      <alignment vertical="center"/>
    </xf>
    <xf numFmtId="168" fontId="0" fillId="4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0" fontId="12" fillId="2" borderId="0" applyAlignment="1" pivotButton="0" quotePrefix="0" xfId="0">
      <alignment vertical="center" wrapText="1"/>
    </xf>
    <xf numFmtId="0" fontId="13" fillId="0" borderId="0" pivotButton="0" quotePrefix="0" xfId="0"/>
    <xf numFmtId="0" fontId="14" fillId="7" borderId="0" applyAlignment="1" pivotButton="0" quotePrefix="0" xfId="0">
      <alignment vertical="center" wrapText="1"/>
    </xf>
    <xf numFmtId="0" fontId="0" fillId="7" borderId="0" pivotButton="0" quotePrefix="0" xfId="0"/>
    <xf numFmtId="0" fontId="14" fillId="7" borderId="1" applyAlignment="1" pivotButton="0" quotePrefix="0" xfId="0">
      <alignment vertical="center"/>
    </xf>
    <xf numFmtId="168" fontId="14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56" customWidth="1" min="2" max="2"/>
    <col width="55" customWidth="1" min="3" max="3"/>
  </cols>
  <sheetData>
    <row r="1" ht="28" customHeight="1">
      <c r="A1" s="1" t="inlineStr">
        <is>
          <t>Excel Premium — Auditoría Comercial 8.0</t>
        </is>
      </c>
      <c r="B1" s="2" t="n"/>
      <c r="C1" s="2" t="n"/>
    </row>
    <row r="2" ht="18" customHeight="1">
      <c r="A2" s="3" t="inlineStr">
        <is>
          <t>Panel administrativo de control de costos · alertas ≠ errores confirmados</t>
        </is>
      </c>
      <c r="B2" s="4" t="n"/>
      <c r="C2" s="4" t="n"/>
    </row>
    <row r="4">
      <c r="A4" s="5" t="inlineStr">
        <is>
          <t>INDICADOR</t>
        </is>
      </c>
      <c r="B4" s="5" t="inlineStr">
        <is>
          <t>DATO DEL CORTE</t>
        </is>
      </c>
      <c r="C4" s="5" t="inlineStr">
        <is>
          <t>ALCANCE / OBSERVACIÓN</t>
        </is>
      </c>
    </row>
    <row r="5">
      <c r="A5" s="6" t="inlineStr">
        <is>
          <t>FILTRO DE STOCK</t>
        </is>
      </c>
      <c r="B5" s="7" t="inlineStr">
        <is>
          <t>CON STOCK</t>
        </is>
      </c>
      <c r="C5" s="8" t="inlineStr">
        <is>
          <t>STOCK_GLOBAL = SUM(quantity) por company_id+variant_id en bsale_raw.stocks (todas las oficinas de la empresa; saldo real, incluye negativos)</t>
        </is>
      </c>
    </row>
    <row r="6">
      <c r="A6" s="9" t="inlineStr">
        <is>
          <t>Empresa</t>
        </is>
      </c>
      <c r="B6" s="10" t="inlineStr">
        <is>
          <t>La Quillotana (prueba) (company_id=3)</t>
        </is>
      </c>
      <c r="C6" s="11" t="inlineStr"/>
    </row>
    <row r="7">
      <c r="A7" s="6" t="inlineStr">
        <is>
          <t>Corte UTC</t>
        </is>
      </c>
      <c r="B7" s="7" t="inlineStr">
        <is>
          <t>2026-10-26T01:36:29.671620+00:00</t>
        </is>
      </c>
      <c r="C7" s="8" t="inlineStr">
        <is>
          <t>Fotografía REPEATABLE READ</t>
        </is>
      </c>
    </row>
    <row r="8">
      <c r="A8" s="9" t="inlineStr">
        <is>
          <t>Indicadores globales</t>
        </is>
      </c>
      <c r="B8" s="10" t="inlineStr">
        <is>
          <t>census / cobertura / huérfanas</t>
        </is>
      </c>
      <c r="C8" s="11" t="inlineStr">
        <is>
          <t>Sin filtro de stock operativo</t>
        </is>
      </c>
    </row>
    <row r="9">
      <c r="A9" s="6" t="inlineStr">
        <is>
          <t>Variantes totales</t>
        </is>
      </c>
      <c r="B9" s="7" t="n">
        <v>100</v>
      </c>
      <c r="C9" s="8" t="inlineStr">
        <is>
          <t>GLOBAL</t>
        </is>
      </c>
    </row>
    <row r="10">
      <c r="A10" s="9" t="inlineStr">
        <is>
          <t>Activas / Inactivas</t>
        </is>
      </c>
      <c r="B10" s="10" t="inlineStr">
        <is>
          <t>80 / 20</t>
        </is>
      </c>
      <c r="C10" s="11" t="inlineStr">
        <is>
          <t>GLOBAL</t>
        </is>
      </c>
    </row>
    <row r="11">
      <c r="A11" s="6" t="inlineStr">
        <is>
          <t>Cobertura costos (filas)</t>
        </is>
      </c>
      <c r="B11" s="7" t="n">
        <v>95</v>
      </c>
      <c r="C11" s="8" t="inlineStr">
        <is>
          <t>GLOBAL · de 100 variantes</t>
        </is>
      </c>
    </row>
    <row r="12">
      <c r="A12" s="9" t="inlineStr">
        <is>
          <t>Costos promedio &gt; 0</t>
        </is>
      </c>
      <c r="B12" s="10" t="n">
        <v>70</v>
      </c>
      <c r="C12" s="11" t="inlineStr">
        <is>
          <t>GLOBAL · variant_costs.average_cost</t>
        </is>
      </c>
    </row>
    <row r="13">
      <c r="A13" s="6" t="inlineStr">
        <is>
          <t>Costos promedio = 0</t>
        </is>
      </c>
      <c r="B13" s="7" t="n">
        <v>25</v>
      </c>
      <c r="C13" s="8" t="inlineStr">
        <is>
          <t>GLOBAL · no es ausencia de fila</t>
        </is>
      </c>
    </row>
    <row r="14">
      <c r="A14" s="9" t="inlineStr">
        <is>
          <t>Activas stock&gt;0</t>
        </is>
      </c>
      <c r="B14" s="10" t="n">
        <v>50</v>
      </c>
      <c r="C14" s="11" t="inlineStr">
        <is>
          <t>GLOBAL</t>
        </is>
      </c>
    </row>
    <row r="15">
      <c r="A15" s="6" t="inlineStr">
        <is>
          <t>Huérfanas stock&gt;0 sin variante</t>
        </is>
      </c>
      <c r="B15" s="7" t="n">
        <v>0</v>
      </c>
      <c r="C15" s="8" t="inlineStr">
        <is>
          <t>GLOBAL · integridad</t>
        </is>
      </c>
    </row>
    <row r="16">
      <c r="A16" s="9" t="inlineStr">
        <is>
          <t>Universo operativo (filtro stock)</t>
        </is>
      </c>
      <c r="B16" s="10" t="n">
        <v>42</v>
      </c>
      <c r="C16" s="11" t="inlineStr">
        <is>
          <t>Promedio vs recepciones · CON STOCK</t>
        </is>
      </c>
    </row>
    <row r="17">
      <c r="A17" s="6" t="inlineStr">
        <is>
          <t>Divergencias ≤15 %</t>
        </is>
      </c>
      <c r="B17" s="7" t="n">
        <v>1</v>
      </c>
      <c r="C17" s="8" t="inlineStr">
        <is>
          <t>Universo filtrado</t>
        </is>
      </c>
    </row>
    <row r="18">
      <c r="A18" s="9" t="inlineStr">
        <is>
          <t>Divergencias 15–50 % (moderadas)</t>
        </is>
      </c>
      <c r="B18" s="10" t="n">
        <v>37</v>
      </c>
      <c r="C18" s="11" t="inlineStr">
        <is>
          <t>Universo filtrado</t>
        </is>
      </c>
    </row>
    <row r="19">
      <c r="A19" s="6" t="inlineStr">
        <is>
          <t>Divergencias &gt;50 % (importantes)</t>
        </is>
      </c>
      <c r="B19" s="7" t="n">
        <v>3</v>
      </c>
      <c r="C19" s="8" t="inlineStr">
        <is>
          <t>Universo filtrado</t>
        </is>
      </c>
    </row>
    <row r="20">
      <c r="A20" s="9" t="inlineStr">
        <is>
          <t>Indicador extremas (≥100 % o ≤−60 %)</t>
        </is>
      </c>
      <c r="B20" s="10" t="n">
        <v>2</v>
      </c>
      <c r="C20" s="11" t="inlineStr">
        <is>
          <t>Subconjunto de &gt;50 %; no error confirmado</t>
        </is>
      </c>
    </row>
    <row r="21">
      <c r="A21" s="6" t="inlineStr">
        <is>
          <t>Requieren verificación de evidencia</t>
        </is>
      </c>
      <c r="B21" s="7" t="n">
        <v>0</v>
      </c>
      <c r="C21" s="8" t="inlineStr">
        <is>
          <t>Universo filtrado</t>
        </is>
      </c>
    </row>
    <row r="22">
      <c r="A22" s="9" t="inlineStr">
        <is>
          <t>Sin recepción comparable</t>
        </is>
      </c>
      <c r="B22" s="10" t="n">
        <v>1</v>
      </c>
      <c r="C22" s="11" t="inlineStr">
        <is>
          <t>Universo filtrado</t>
        </is>
      </c>
    </row>
    <row r="23">
      <c r="A23" s="6" t="inlineStr">
        <is>
          <t>Anomalías exportadas (Δ&gt;15 %)</t>
        </is>
      </c>
      <c r="B23" s="7" t="n">
        <v>40</v>
      </c>
      <c r="C23" s="8" t="inlineStr">
        <is>
          <t>universo_completo_abs_diff_gt_15 — no top_n del CLI</t>
        </is>
      </c>
    </row>
    <row r="24">
      <c r="A24" s="9" t="inlineStr">
        <is>
          <t>Activos costo cero (filtrados)</t>
        </is>
      </c>
      <c r="B24" s="10" t="n">
        <v>3</v>
      </c>
      <c r="C24" s="11" t="inlineStr"/>
    </row>
    <row r="25">
      <c r="A25" s="6" t="inlineStr">
        <is>
          <t xml:space="preserve">  · stock cero explícito</t>
        </is>
      </c>
      <c r="B25" s="7" t="n">
        <v>1</v>
      </c>
      <c r="C25" s="8" t="inlineStr">
        <is>
          <t>Fila stock con quantity=0</t>
        </is>
      </c>
    </row>
    <row r="26">
      <c r="A26" s="9" t="inlineStr">
        <is>
          <t xml:space="preserve">  · sin fila de stock</t>
        </is>
      </c>
      <c r="B26" s="10" t="n">
        <v>1</v>
      </c>
      <c r="C26" s="11" t="inlineStr">
        <is>
          <t>Dato ausente ≠ cero</t>
        </is>
      </c>
    </row>
    <row r="27">
      <c r="A27" s="6" t="inlineStr">
        <is>
          <t>Cierre buckets principales</t>
        </is>
      </c>
      <c r="B27" s="7" t="inlineStr">
        <is>
          <t>Sí</t>
        </is>
      </c>
      <c r="C27" s="8" t="inlineStr">
        <is>
          <t>{'closes': True, 'sum_principales': 42, 'extrema_subset_ok': True}</t>
        </is>
      </c>
    </row>
    <row r="29">
      <c r="A29" s="12" t="inlineStr">
        <is>
          <t>Metodología y advertencias comerciales</t>
        </is>
      </c>
    </row>
    <row r="30">
      <c r="A30" s="13" t="inlineStr">
        <is>
          <t>• Costo analizado = average_cost Bsale (no se recalcula desde la última recepción).</t>
        </is>
      </c>
    </row>
    <row r="31">
      <c r="A31" s="13" t="inlineStr">
        <is>
          <t>• Δ% = (última comparable − promedio) / promedio × 100. Comparable = FACTURA/GUÍA completa con costo&gt;0 y cantidad&gt;0.</t>
        </is>
      </c>
    </row>
    <row r="32">
      <c r="A32" s="13" t="inlineStr">
        <is>
          <t>• Exposición potencial = |última comparable − promedio| × stock. Solo orientación de revisión; no es pérdida ni valorización contable.</t>
        </is>
      </c>
    </row>
    <row r="33">
      <c r="A33" s="13" t="inlineStr">
        <is>
          <t>• Si la unidad/presentación no está comprobada, la exposición no debe usarse como valorización definitiva.</t>
        </is>
      </c>
    </row>
    <row r="34">
      <c r="A34" s="13" t="inlineStr">
        <is>
          <t>• Prioridad de revisión (P1–P4) es independiente de la confianza de error.</t>
        </is>
      </c>
    </row>
    <row r="35">
      <c r="A35" s="13" t="inlineStr">
        <is>
          <t>• Una posible corrección administrativa no reduce la prioridad de revisar el caso.</t>
        </is>
      </c>
    </row>
    <row r="36">
      <c r="A36" s="13" t="inlineStr">
        <is>
          <t>• Alertas ≠ errores confirmados. Editar la hoja 6 no actualiza la ERP ni PostgreSQL.</t>
        </is>
      </c>
    </row>
    <row r="37">
      <c r="A37" s="13" t="inlineStr">
        <is>
          <t>• «Sin precio» es solo presentación; internamente el precio ausente permanece NULL y no entra en cálculos.</t>
        </is>
      </c>
    </row>
    <row r="38">
      <c r="A38" s="13" t="inlineStr">
        <is>
          <t>• Las alertas de divergencia NO son errores de costo confirmados.</t>
        </is>
      </c>
    </row>
    <row r="39">
      <c r="A39" s="13" t="inlineStr">
        <is>
          <t>• Editar la hoja de revisión administrativa no actualiza PostgreSQL ni Bsale.</t>
        </is>
      </c>
    </row>
    <row r="41">
      <c r="A41" s="12" t="inlineStr">
        <is>
          <t>Frescura de sincronización (solo alertas activas)</t>
        </is>
      </c>
    </row>
    <row r="42">
      <c r="A42" s="5" t="inlineStr">
        <is>
          <t>Recurso</t>
        </is>
      </c>
      <c r="B42" s="5" t="inlineStr">
        <is>
          <t>Estado / último SUCCESS</t>
        </is>
      </c>
      <c r="C42" s="5" t="inlineStr">
        <is>
          <t>Nota</t>
        </is>
      </c>
    </row>
    <row r="43">
      <c r="A43" t="inlineStr">
        <is>
          <t>variant_costs / full</t>
        </is>
      </c>
      <c r="B43" t="inlineStr">
        <is>
          <t>SUCCESS · 2026-10-22 12:00:00+00:00</t>
        </is>
      </c>
      <c r="C43" t="inlineStr">
        <is>
          <t>hubo errores históricos; último SUCCESS los supersede</t>
        </is>
      </c>
    </row>
  </sheetData>
  <mergeCells count="14">
    <mergeCell ref="A41:C41"/>
    <mergeCell ref="A33:C33"/>
    <mergeCell ref="A36:C36"/>
    <mergeCell ref="A1:C1"/>
    <mergeCell ref="A37:C37"/>
    <mergeCell ref="A32:C32"/>
    <mergeCell ref="A31:C31"/>
    <mergeCell ref="A30:C30"/>
    <mergeCell ref="A35:C35"/>
    <mergeCell ref="A34:C34"/>
    <mergeCell ref="A29:C29"/>
    <mergeCell ref="A39:C39"/>
    <mergeCell ref="A38:C3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54" customWidth="1" min="2" max="2"/>
    <col width="19" customWidth="1" min="3" max="3"/>
    <col width="16" customWidth="1" min="4" max="4"/>
    <col width="11" customWidth="1" min="5" max="5"/>
    <col width="16" customWidth="1" min="6" max="6"/>
    <col width="14" customWidth="1" min="7" max="7"/>
    <col width="13" customWidth="1" min="8" max="8"/>
    <col width="18" customWidth="1" min="9" max="9"/>
    <col width="34" customWidth="1" min="10" max="10"/>
    <col width="15" customWidth="1" min="11" max="11"/>
    <col width="14" customWidth="1" min="12" max="12"/>
    <col width="18" customWidth="1" min="13" max="13"/>
    <col width="15" customWidth="1" min="14" max="14"/>
    <col width="15" customWidth="1" min="15" max="15"/>
    <col width="15" customWidth="1" min="16" max="16"/>
    <col width="14" customWidth="1" min="17" max="17"/>
    <col width="16" customWidth="1" min="18" max="18"/>
    <col width="11" customWidth="1" min="19" max="19"/>
    <col width="25" customWidth="1" min="20" max="20"/>
    <col width="14" customWidth="1" min="21" max="21"/>
    <col width="16" customWidth="1" min="22" max="22"/>
    <col width="14" customWidth="1" min="23" max="23"/>
    <col width="40" customWidth="1" min="24" max="24"/>
  </cols>
  <sheetData>
    <row r="1" ht="28" customHeight="1">
      <c r="A1" s="14" t="inlineStr">
        <is>
          <t>ANOMALÍAS DE COSTO  /  AUDITORÍA COMPLETA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8" customHeight="1">
      <c r="A2" s="3" t="inlineStr">
        <is>
          <t>40 diferencias superiores al 15 %  ·  CON STOCK  ·  Alerta ≠ error confirmado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>
      <c r="A3" s="15" t="inlineStr">
        <is>
          <t>PRIORIDAD  →  PRODUCTO + VARIANTE  →  COSTO / Δ %  →  FACTURA.  Columnas técnicas al final. «Sin precio» es solo presentación (no es cero).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</row>
    <row r="5">
      <c r="A5" s="5" t="inlineStr">
        <is>
          <t>TIPO</t>
        </is>
      </c>
      <c r="B5" s="5" t="inlineStr">
        <is>
          <t>PRODUCTO + VARIANTE</t>
        </is>
      </c>
      <c r="C5" s="5" t="inlineStr">
        <is>
          <t>BARCODE</t>
        </is>
      </c>
      <c r="D5" s="5" t="inlineStr">
        <is>
          <t>PRIORIDAD</t>
        </is>
      </c>
      <c r="E5" s="5" t="inlineStr">
        <is>
          <t>STOCK</t>
        </is>
      </c>
      <c r="F5" s="5" t="inlineStr">
        <is>
          <t>COSTO PROM.</t>
        </is>
      </c>
      <c r="G5" s="5" t="inlineStr">
        <is>
          <t>ÚLT. COMPRA</t>
        </is>
      </c>
      <c r="H5" s="5" t="inlineStr">
        <is>
          <t>Δ vs PROM.</t>
        </is>
      </c>
      <c r="I5" s="5" t="inlineStr">
        <is>
          <t>EXPOSICIÓN¹</t>
        </is>
      </c>
      <c r="J5" s="5" t="inlineStr">
        <is>
          <t>ACCIÓN</t>
        </is>
      </c>
      <c r="K5" s="5" t="inlineStr">
        <is>
          <t>N° FACTURA</t>
        </is>
      </c>
      <c r="L5" s="5" t="inlineStr">
        <is>
          <t>FECHA</t>
        </is>
      </c>
      <c r="M5" s="5" t="inlineStr">
        <is>
          <t>OFICINA</t>
        </is>
      </c>
      <c r="N5" s="5" t="inlineStr">
        <is>
          <t>Precio Supermercado</t>
        </is>
      </c>
      <c r="O5" s="5" t="inlineStr">
        <is>
          <t>Precio Ruta Facturas</t>
        </is>
      </c>
      <c r="P5" s="5" t="inlineStr">
        <is>
          <t>Precio Melinka</t>
        </is>
      </c>
      <c r="Q5" s="5" t="inlineStr">
        <is>
          <t>VARIANT_ID</t>
        </is>
      </c>
      <c r="R5" s="5" t="inlineStr">
        <is>
          <t>SKU</t>
        </is>
      </c>
      <c r="S5" s="5" t="inlineStr">
        <is>
          <t>SCORE</t>
        </is>
      </c>
      <c r="T5" s="5" t="inlineStr">
        <is>
          <t>TIPO ALERTA</t>
        </is>
      </c>
      <c r="U5" s="5" t="inlineStr">
        <is>
          <t>EVIDENCIA</t>
        </is>
      </c>
      <c r="V5" s="5" t="inlineStr">
        <is>
          <t>CONFIANZA ERROR</t>
        </is>
      </c>
      <c r="W5" s="5" t="inlineStr">
        <is>
          <t>DOCUMENTO</t>
        </is>
      </c>
      <c r="X5" s="5" t="inlineStr">
        <is>
          <t>NOTA METODOLÓGICA</t>
        </is>
      </c>
    </row>
    <row r="6">
      <c r="A6" s="7" t="inlineStr">
        <is>
          <t>CERVEZA</t>
        </is>
      </c>
      <c r="B6" s="7" t="inlineStr">
        <is>
          <t>Producto 10894 — Variante 10894</t>
        </is>
      </c>
      <c r="C6" s="17" t="inlineStr">
        <is>
          <t>7800000010894</t>
        </is>
      </c>
      <c r="D6" s="18" t="inlineStr">
        <is>
          <t>P1 · CRÍTICO</t>
        </is>
      </c>
      <c r="E6" s="19" t="n">
        <v>1964</v>
      </c>
      <c r="F6" s="20" t="n">
        <v>100</v>
      </c>
      <c r="G6" s="20" t="n">
        <v>135.77</v>
      </c>
      <c r="H6" s="21" t="n">
        <v>0.3577</v>
      </c>
      <c r="I6" s="22">
        <f>IF(OR(E6="",F6="",G6=""),"",ABS(G6-F6)*E6)</f>
        <v/>
      </c>
      <c r="J6" s="7" t="inlineStr">
        <is>
          <t>revisar_recepcion_y_promedio</t>
        </is>
      </c>
      <c r="K6" s="17" t="inlineStr">
        <is>
          <t>123</t>
        </is>
      </c>
      <c r="L6" s="23" t="n">
        <v>46266</v>
      </c>
      <c r="M6" s="7" t="inlineStr">
        <is>
          <t>Bodega Central</t>
        </is>
      </c>
      <c r="N6" s="20" t="n">
        <v>1500</v>
      </c>
      <c r="O6" s="17" t="inlineStr">
        <is>
          <t>Sin precio</t>
        </is>
      </c>
      <c r="P6" s="20" t="n">
        <v>1400</v>
      </c>
      <c r="Q6" s="7" t="n">
        <v>10894</v>
      </c>
      <c r="R6" s="17" t="inlineStr">
        <is>
          <t>010894</t>
        </is>
      </c>
      <c r="S6" s="7" t="n">
        <v>269.44</v>
      </c>
      <c r="T6" s="7" t="inlineStr">
        <is>
          <t>divergencia_gt_15_alerta</t>
        </is>
      </c>
      <c r="U6" s="7" t="inlineStr">
        <is>
          <t>alta</t>
        </is>
      </c>
      <c r="V6" s="7" t="inlineStr">
        <is>
          <t>baja</t>
        </is>
      </c>
      <c r="W6" s="7" t="inlineStr">
        <is>
          <t>Factura</t>
        </is>
      </c>
      <c r="X6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7">
      <c r="A7" s="7" t="inlineStr">
        <is>
          <t>CERVEZA</t>
        </is>
      </c>
      <c r="B7" s="7" t="inlineStr">
        <is>
          <t>Producto 27785 — Variante 27785</t>
        </is>
      </c>
      <c r="C7" s="17" t="inlineStr">
        <is>
          <t>7800000027785</t>
        </is>
      </c>
      <c r="D7" s="24" t="inlineStr">
        <is>
          <t>P2 · ALTO</t>
        </is>
      </c>
      <c r="E7" s="19" t="n">
        <v>679</v>
      </c>
      <c r="F7" s="20" t="n">
        <v>100</v>
      </c>
      <c r="G7" s="20" t="n">
        <v>135.17</v>
      </c>
      <c r="H7" s="25" t="n">
        <v>0.3517</v>
      </c>
      <c r="I7" s="22">
        <f>IF(OR(E7="",F7="",G7=""),"",ABS(G7-F7)*E7)</f>
        <v/>
      </c>
      <c r="J7" s="7" t="inlineStr">
        <is>
          <t>revisar_recepcion_y_promedio</t>
        </is>
      </c>
      <c r="K7" s="17" t="inlineStr">
        <is>
          <t>123</t>
        </is>
      </c>
      <c r="L7" s="23" t="n">
        <v>46266</v>
      </c>
      <c r="M7" s="7" t="inlineStr">
        <is>
          <t>Bodega Central</t>
        </is>
      </c>
      <c r="N7" s="20" t="n">
        <v>1500</v>
      </c>
      <c r="O7" s="17" t="inlineStr">
        <is>
          <t>Sin precio</t>
        </is>
      </c>
      <c r="P7" s="20" t="n">
        <v>1400</v>
      </c>
      <c r="Q7" s="7" t="n">
        <v>27785</v>
      </c>
      <c r="R7" s="17" t="inlineStr">
        <is>
          <t>027785</t>
        </is>
      </c>
      <c r="S7" s="7" t="n">
        <v>108.67</v>
      </c>
      <c r="T7" s="7" t="inlineStr">
        <is>
          <t>divergencia_gt_15_alerta</t>
        </is>
      </c>
      <c r="U7" s="7" t="inlineStr">
        <is>
          <t>alta</t>
        </is>
      </c>
      <c r="V7" s="7" t="inlineStr">
        <is>
          <t>baja</t>
        </is>
      </c>
      <c r="W7" s="7" t="inlineStr">
        <is>
          <t>Factura</t>
        </is>
      </c>
      <c r="X7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8">
      <c r="A8" s="7" t="inlineStr">
        <is>
          <t>CERVEZA</t>
        </is>
      </c>
      <c r="B8" s="7" t="inlineStr">
        <is>
          <t>Producto 30735 — Variante 30735</t>
        </is>
      </c>
      <c r="C8" s="17" t="inlineStr">
        <is>
          <t>7800000030735</t>
        </is>
      </c>
      <c r="D8" s="18" t="inlineStr">
        <is>
          <t>P1 · CRÍTICO</t>
        </is>
      </c>
      <c r="E8" s="19" t="n">
        <v>5</v>
      </c>
      <c r="F8" s="20" t="n">
        <v>100</v>
      </c>
      <c r="G8" s="20" t="n">
        <v>500</v>
      </c>
      <c r="H8" s="21" t="n">
        <v>4</v>
      </c>
      <c r="I8" s="22">
        <f>IF(OR(E8="",F8="",G8=""),"",ABS(G8-F8)*E8)</f>
        <v/>
      </c>
      <c r="J8" s="7" t="inlineStr">
        <is>
          <t>contrastar_factura_unidad_presentacion</t>
        </is>
      </c>
      <c r="K8" s="17" t="inlineStr">
        <is>
          <t>123</t>
        </is>
      </c>
      <c r="L8" s="23" t="n">
        <v>46266</v>
      </c>
      <c r="M8" s="7" t="inlineStr">
        <is>
          <t>Bodega Central</t>
        </is>
      </c>
      <c r="N8" s="20" t="n">
        <v>1500</v>
      </c>
      <c r="O8" s="17" t="inlineStr">
        <is>
          <t>Sin precio</t>
        </is>
      </c>
      <c r="P8" s="20" t="n">
        <v>1400</v>
      </c>
      <c r="Q8" s="7" t="n">
        <v>30735</v>
      </c>
      <c r="R8" s="17" t="inlineStr">
        <is>
          <t>030735</t>
        </is>
      </c>
      <c r="S8" s="7" t="n">
        <v>52.62</v>
      </c>
      <c r="T8" s="7" t="inlineStr">
        <is>
          <t>divergencia_gt_15_alerta_extrema</t>
        </is>
      </c>
      <c r="U8" s="7" t="inlineStr">
        <is>
          <t>alta</t>
        </is>
      </c>
      <c r="V8" s="7" t="inlineStr">
        <is>
          <t>baja</t>
        </is>
      </c>
      <c r="W8" s="7" t="inlineStr">
        <is>
          <t>Factura</t>
        </is>
      </c>
      <c r="X8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9">
      <c r="A9" s="7" t="inlineStr">
        <is>
          <t>CERVEZA</t>
        </is>
      </c>
      <c r="B9" s="7" t="inlineStr">
        <is>
          <t>Producto 24486 — Variante 24486</t>
        </is>
      </c>
      <c r="C9" s="17" t="inlineStr">
        <is>
          <t>7800000024486</t>
        </is>
      </c>
      <c r="D9" s="24" t="inlineStr">
        <is>
          <t>P2 · ALTO</t>
        </is>
      </c>
      <c r="E9" s="19" t="n">
        <v>29</v>
      </c>
      <c r="F9" s="20" t="n">
        <v>100</v>
      </c>
      <c r="G9" s="20" t="n">
        <v>4.76</v>
      </c>
      <c r="H9" s="25" t="n">
        <v>-0.9523999999999999</v>
      </c>
      <c r="I9" s="22">
        <f>IF(OR(E9="",F9="",G9=""),"",ABS(G9-F9)*E9)</f>
        <v/>
      </c>
      <c r="J9" s="7" t="inlineStr">
        <is>
          <t>contrastar_factura_unidad_presentacion</t>
        </is>
      </c>
      <c r="K9" s="17" t="inlineStr">
        <is>
          <t>123</t>
        </is>
      </c>
      <c r="L9" s="23" t="n">
        <v>46266</v>
      </c>
      <c r="M9" s="7" t="inlineStr">
        <is>
          <t>Bodega Central</t>
        </is>
      </c>
      <c r="N9" s="20" t="n">
        <v>1500</v>
      </c>
      <c r="O9" s="17" t="inlineStr">
        <is>
          <t>Sin precio</t>
        </is>
      </c>
      <c r="P9" s="20" t="n">
        <v>1400</v>
      </c>
      <c r="Q9" s="7" t="n">
        <v>24486</v>
      </c>
      <c r="R9" s="17" t="inlineStr">
        <is>
          <t>024486</t>
        </is>
      </c>
      <c r="S9" s="7" t="n">
        <v>30.2</v>
      </c>
      <c r="T9" s="7" t="inlineStr">
        <is>
          <t>divergencia_gt_15_alerta_extrema</t>
        </is>
      </c>
      <c r="U9" s="7" t="inlineStr">
        <is>
          <t>alta</t>
        </is>
      </c>
      <c r="V9" s="7" t="inlineStr">
        <is>
          <t>baja</t>
        </is>
      </c>
      <c r="W9" s="7" t="inlineStr">
        <is>
          <t>Factura</t>
        </is>
      </c>
      <c r="X9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0">
      <c r="A10" s="7" t="inlineStr">
        <is>
          <t>CERVEZA</t>
        </is>
      </c>
      <c r="B10" s="7" t="inlineStr">
        <is>
          <t>Producto 29507 — Variante 29507</t>
        </is>
      </c>
      <c r="C10" s="17" t="inlineStr">
        <is>
          <t>7800000029507</t>
        </is>
      </c>
      <c r="D10" s="24" t="inlineStr">
        <is>
          <t>P2 · ALTO</t>
        </is>
      </c>
      <c r="E10" s="19" t="n">
        <v>14</v>
      </c>
      <c r="F10" s="20" t="n">
        <v>100</v>
      </c>
      <c r="G10" s="20" t="n">
        <v>160.28</v>
      </c>
      <c r="H10" s="25" t="n">
        <v>0.6028</v>
      </c>
      <c r="I10" s="22">
        <f>IF(OR(E10="",F10="",G10=""),"",ABS(G10-F10)*E10)</f>
        <v/>
      </c>
      <c r="J10" s="7" t="inlineStr">
        <is>
          <t>contrastar_factura_unidad_presentacion</t>
        </is>
      </c>
      <c r="K10" s="17" t="inlineStr">
        <is>
          <t>123</t>
        </is>
      </c>
      <c r="L10" s="23" t="n">
        <v>46266</v>
      </c>
      <c r="M10" s="7" t="inlineStr">
        <is>
          <t>Bodega Central</t>
        </is>
      </c>
      <c r="N10" s="20" t="n">
        <v>1500</v>
      </c>
      <c r="O10" s="17" t="inlineStr">
        <is>
          <t>Sin precio</t>
        </is>
      </c>
      <c r="P10" s="20" t="n">
        <v>1400</v>
      </c>
      <c r="Q10" s="7" t="n">
        <v>29507</v>
      </c>
      <c r="R10" s="17" t="inlineStr">
        <is>
          <t>029507</t>
        </is>
      </c>
      <c r="S10" s="7" t="n">
        <v>17.66</v>
      </c>
      <c r="T10" s="7" t="inlineStr">
        <is>
          <t>divergencia_gt_15_alerta</t>
        </is>
      </c>
      <c r="U10" s="7" t="inlineStr">
        <is>
          <t>alta</t>
        </is>
      </c>
      <c r="V10" s="7" t="inlineStr">
        <is>
          <t>baja</t>
        </is>
      </c>
      <c r="W10" s="7" t="inlineStr">
        <is>
          <t>Factura</t>
        </is>
      </c>
      <c r="X10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1">
      <c r="A11" s="7" t="inlineStr">
        <is>
          <t>CERVEZA</t>
        </is>
      </c>
      <c r="B11" s="7" t="inlineStr">
        <is>
          <t>Producto 40000 — Variante 40000</t>
        </is>
      </c>
      <c r="C11" s="17" t="inlineStr">
        <is>
          <t>7800000040000</t>
        </is>
      </c>
      <c r="D11" s="26" t="inlineStr">
        <is>
          <t>P3 · MEDIO</t>
        </is>
      </c>
      <c r="E11" s="19" t="n">
        <v>10</v>
      </c>
      <c r="F11" s="20" t="n">
        <v>100</v>
      </c>
      <c r="G11" s="20" t="n">
        <v>120.5</v>
      </c>
      <c r="H11" s="27" t="n">
        <v>0.205</v>
      </c>
      <c r="I11" s="22">
        <f>IF(OR(E11="",F11="",G11=""),"",ABS(G11-F11)*E11)</f>
        <v/>
      </c>
      <c r="J11" s="7" t="inlineStr">
        <is>
          <t>revisar_recepcion_y_promedio</t>
        </is>
      </c>
      <c r="K11" s="17" t="inlineStr">
        <is>
          <t>123</t>
        </is>
      </c>
      <c r="L11" s="23" t="n">
        <v>46266</v>
      </c>
      <c r="M11" s="7" t="inlineStr">
        <is>
          <t>Bodega Central</t>
        </is>
      </c>
      <c r="N11" s="20" t="n">
        <v>1500</v>
      </c>
      <c r="O11" s="17" t="inlineStr">
        <is>
          <t>Sin precio</t>
        </is>
      </c>
      <c r="P11" s="20" t="n">
        <v>1400</v>
      </c>
      <c r="Q11" s="7" t="n">
        <v>40000</v>
      </c>
      <c r="R11" s="17" t="inlineStr">
        <is>
          <t>040000</t>
        </is>
      </c>
      <c r="S11" s="7" t="n">
        <v>6.58</v>
      </c>
      <c r="T11" s="7" t="inlineStr">
        <is>
          <t>divergencia_gt_15_alerta</t>
        </is>
      </c>
      <c r="U11" s="7" t="inlineStr">
        <is>
          <t>alta</t>
        </is>
      </c>
      <c r="V11" s="7" t="inlineStr">
        <is>
          <t>baja</t>
        </is>
      </c>
      <c r="W11" s="7" t="inlineStr">
        <is>
          <t>Factura</t>
        </is>
      </c>
      <c r="X11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2">
      <c r="A12" s="7" t="inlineStr">
        <is>
          <t>CERVEZA</t>
        </is>
      </c>
      <c r="B12" s="7" t="inlineStr">
        <is>
          <t>Producto 40001 — Variante 40001</t>
        </is>
      </c>
      <c r="C12" s="17" t="inlineStr">
        <is>
          <t>7800000040001</t>
        </is>
      </c>
      <c r="D12" s="26" t="inlineStr">
        <is>
          <t>P3 · MEDIO</t>
        </is>
      </c>
      <c r="E12" s="19" t="n">
        <v>10</v>
      </c>
      <c r="F12" s="20" t="n">
        <v>100</v>
      </c>
      <c r="G12" s="20" t="n">
        <v>120.5</v>
      </c>
      <c r="H12" s="27" t="n">
        <v>0.205</v>
      </c>
      <c r="I12" s="22">
        <f>IF(OR(E12="",F12="",G12=""),"",ABS(G12-F12)*E12)</f>
        <v/>
      </c>
      <c r="J12" s="7" t="inlineStr">
        <is>
          <t>revisar_recepcion_y_promedio</t>
        </is>
      </c>
      <c r="K12" s="17" t="inlineStr">
        <is>
          <t>123</t>
        </is>
      </c>
      <c r="L12" s="23" t="n">
        <v>46266</v>
      </c>
      <c r="M12" s="7" t="inlineStr">
        <is>
          <t>Bodega Central</t>
        </is>
      </c>
      <c r="N12" s="20" t="n">
        <v>1500</v>
      </c>
      <c r="O12" s="17" t="inlineStr">
        <is>
          <t>Sin precio</t>
        </is>
      </c>
      <c r="P12" s="20" t="n">
        <v>1400</v>
      </c>
      <c r="Q12" s="7" t="n">
        <v>40001</v>
      </c>
      <c r="R12" s="17" t="inlineStr">
        <is>
          <t>040001</t>
        </is>
      </c>
      <c r="S12" s="7" t="n">
        <v>6.58</v>
      </c>
      <c r="T12" s="7" t="inlineStr">
        <is>
          <t>divergencia_gt_15_alerta</t>
        </is>
      </c>
      <c r="U12" s="7" t="inlineStr">
        <is>
          <t>alta</t>
        </is>
      </c>
      <c r="V12" s="7" t="inlineStr">
        <is>
          <t>baja</t>
        </is>
      </c>
      <c r="W12" s="7" t="inlineStr">
        <is>
          <t>Factura</t>
        </is>
      </c>
      <c r="X12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3">
      <c r="A13" s="7" t="inlineStr">
        <is>
          <t>CERVEZA</t>
        </is>
      </c>
      <c r="B13" s="7" t="inlineStr">
        <is>
          <t>Producto 40002 — Variante 40002</t>
        </is>
      </c>
      <c r="C13" s="17" t="inlineStr">
        <is>
          <t>7800000040002</t>
        </is>
      </c>
      <c r="D13" s="26" t="inlineStr">
        <is>
          <t>P3 · MEDIO</t>
        </is>
      </c>
      <c r="E13" s="19" t="n">
        <v>10</v>
      </c>
      <c r="F13" s="20" t="n">
        <v>100</v>
      </c>
      <c r="G13" s="20" t="n">
        <v>120.5</v>
      </c>
      <c r="H13" s="27" t="n">
        <v>0.205</v>
      </c>
      <c r="I13" s="22">
        <f>IF(OR(E13="",F13="",G13=""),"",ABS(G13-F13)*E13)</f>
        <v/>
      </c>
      <c r="J13" s="7" t="inlineStr">
        <is>
          <t>revisar_recepcion_y_promedio</t>
        </is>
      </c>
      <c r="K13" s="17" t="inlineStr">
        <is>
          <t>123</t>
        </is>
      </c>
      <c r="L13" s="23" t="n">
        <v>46266</v>
      </c>
      <c r="M13" s="7" t="inlineStr">
        <is>
          <t>Bodega Central</t>
        </is>
      </c>
      <c r="N13" s="20" t="n">
        <v>1500</v>
      </c>
      <c r="O13" s="17" t="inlineStr">
        <is>
          <t>Sin precio</t>
        </is>
      </c>
      <c r="P13" s="20" t="n">
        <v>1400</v>
      </c>
      <c r="Q13" s="7" t="n">
        <v>40002</v>
      </c>
      <c r="R13" s="17" t="inlineStr">
        <is>
          <t>040002</t>
        </is>
      </c>
      <c r="S13" s="7" t="n">
        <v>6.58</v>
      </c>
      <c r="T13" s="7" t="inlineStr">
        <is>
          <t>divergencia_gt_15_alerta</t>
        </is>
      </c>
      <c r="U13" s="7" t="inlineStr">
        <is>
          <t>alta</t>
        </is>
      </c>
      <c r="V13" s="7" t="inlineStr">
        <is>
          <t>baja</t>
        </is>
      </c>
      <c r="W13" s="7" t="inlineStr">
        <is>
          <t>Factura</t>
        </is>
      </c>
      <c r="X13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4">
      <c r="A14" s="7" t="inlineStr">
        <is>
          <t>CERVEZA</t>
        </is>
      </c>
      <c r="B14" s="7" t="inlineStr">
        <is>
          <t>Producto 40003 — Variante 40003</t>
        </is>
      </c>
      <c r="C14" s="17" t="inlineStr">
        <is>
          <t>7800000040003</t>
        </is>
      </c>
      <c r="D14" s="26" t="inlineStr">
        <is>
          <t>P3 · MEDIO</t>
        </is>
      </c>
      <c r="E14" s="19" t="n">
        <v>10</v>
      </c>
      <c r="F14" s="20" t="n">
        <v>100</v>
      </c>
      <c r="G14" s="20" t="n">
        <v>120.5</v>
      </c>
      <c r="H14" s="27" t="n">
        <v>0.205</v>
      </c>
      <c r="I14" s="22">
        <f>IF(OR(E14="",F14="",G14=""),"",ABS(G14-F14)*E14)</f>
        <v/>
      </c>
      <c r="J14" s="7" t="inlineStr">
        <is>
          <t>revisar_recepcion_y_promedio</t>
        </is>
      </c>
      <c r="K14" s="17" t="inlineStr">
        <is>
          <t>123</t>
        </is>
      </c>
      <c r="L14" s="23" t="n">
        <v>46266</v>
      </c>
      <c r="M14" s="7" t="inlineStr">
        <is>
          <t>Bodega Central</t>
        </is>
      </c>
      <c r="N14" s="20" t="n">
        <v>1500</v>
      </c>
      <c r="O14" s="17" t="inlineStr">
        <is>
          <t>Sin precio</t>
        </is>
      </c>
      <c r="P14" s="20" t="n">
        <v>1400</v>
      </c>
      <c r="Q14" s="7" t="n">
        <v>40003</v>
      </c>
      <c r="R14" s="17" t="inlineStr">
        <is>
          <t>040003</t>
        </is>
      </c>
      <c r="S14" s="7" t="n">
        <v>6.58</v>
      </c>
      <c r="T14" s="7" t="inlineStr">
        <is>
          <t>divergencia_gt_15_alerta</t>
        </is>
      </c>
      <c r="U14" s="7" t="inlineStr">
        <is>
          <t>alta</t>
        </is>
      </c>
      <c r="V14" s="7" t="inlineStr">
        <is>
          <t>baja</t>
        </is>
      </c>
      <c r="W14" s="7" t="inlineStr">
        <is>
          <t>Factura</t>
        </is>
      </c>
      <c r="X14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5">
      <c r="A15" s="7" t="inlineStr">
        <is>
          <t>CERVEZA</t>
        </is>
      </c>
      <c r="B15" s="7" t="inlineStr">
        <is>
          <t>Producto 40004 — Variante 40004</t>
        </is>
      </c>
      <c r="C15" s="17" t="inlineStr">
        <is>
          <t>7800000040004</t>
        </is>
      </c>
      <c r="D15" s="26" t="inlineStr">
        <is>
          <t>P3 · MEDIO</t>
        </is>
      </c>
      <c r="E15" s="19" t="n">
        <v>10</v>
      </c>
      <c r="F15" s="20" t="n">
        <v>100</v>
      </c>
      <c r="G15" s="20" t="n">
        <v>120.5</v>
      </c>
      <c r="H15" s="27" t="n">
        <v>0.205</v>
      </c>
      <c r="I15" s="22">
        <f>IF(OR(E15="",F15="",G15=""),"",ABS(G15-F15)*E15)</f>
        <v/>
      </c>
      <c r="J15" s="7" t="inlineStr">
        <is>
          <t>revisar_recepcion_y_promedio</t>
        </is>
      </c>
      <c r="K15" s="17" t="inlineStr">
        <is>
          <t>123</t>
        </is>
      </c>
      <c r="L15" s="23" t="n">
        <v>46266</v>
      </c>
      <c r="M15" s="7" t="inlineStr">
        <is>
          <t>Bodega Central</t>
        </is>
      </c>
      <c r="N15" s="20" t="n">
        <v>1500</v>
      </c>
      <c r="O15" s="17" t="inlineStr">
        <is>
          <t>Sin precio</t>
        </is>
      </c>
      <c r="P15" s="20" t="n">
        <v>1400</v>
      </c>
      <c r="Q15" s="7" t="n">
        <v>40004</v>
      </c>
      <c r="R15" s="17" t="inlineStr">
        <is>
          <t>040004</t>
        </is>
      </c>
      <c r="S15" s="7" t="n">
        <v>6.58</v>
      </c>
      <c r="T15" s="7" t="inlineStr">
        <is>
          <t>divergencia_gt_15_alerta</t>
        </is>
      </c>
      <c r="U15" s="7" t="inlineStr">
        <is>
          <t>alta</t>
        </is>
      </c>
      <c r="V15" s="7" t="inlineStr">
        <is>
          <t>baja</t>
        </is>
      </c>
      <c r="W15" s="7" t="inlineStr">
        <is>
          <t>Factura</t>
        </is>
      </c>
      <c r="X15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6">
      <c r="A16" s="7" t="inlineStr">
        <is>
          <t>CERVEZA</t>
        </is>
      </c>
      <c r="B16" s="7" t="inlineStr">
        <is>
          <t>Producto 40005 — Variante 40005</t>
        </is>
      </c>
      <c r="C16" s="17" t="inlineStr">
        <is>
          <t>7800000040005</t>
        </is>
      </c>
      <c r="D16" s="26" t="inlineStr">
        <is>
          <t>P3 · MEDIO</t>
        </is>
      </c>
      <c r="E16" s="19" t="n">
        <v>10</v>
      </c>
      <c r="F16" s="20" t="n">
        <v>100</v>
      </c>
      <c r="G16" s="20" t="n">
        <v>120.5</v>
      </c>
      <c r="H16" s="27" t="n">
        <v>0.205</v>
      </c>
      <c r="I16" s="22">
        <f>IF(OR(E16="",F16="",G16=""),"",ABS(G16-F16)*E16)</f>
        <v/>
      </c>
      <c r="J16" s="7" t="inlineStr">
        <is>
          <t>revisar_recepcion_y_promedio</t>
        </is>
      </c>
      <c r="K16" s="17" t="inlineStr">
        <is>
          <t>123</t>
        </is>
      </c>
      <c r="L16" s="23" t="n">
        <v>46266</v>
      </c>
      <c r="M16" s="7" t="inlineStr">
        <is>
          <t>Bodega Central</t>
        </is>
      </c>
      <c r="N16" s="20" t="n">
        <v>1500</v>
      </c>
      <c r="O16" s="17" t="inlineStr">
        <is>
          <t>Sin precio</t>
        </is>
      </c>
      <c r="P16" s="20" t="n">
        <v>1400</v>
      </c>
      <c r="Q16" s="7" t="n">
        <v>40005</v>
      </c>
      <c r="R16" s="17" t="inlineStr">
        <is>
          <t>040005</t>
        </is>
      </c>
      <c r="S16" s="7" t="n">
        <v>6.58</v>
      </c>
      <c r="T16" s="7" t="inlineStr">
        <is>
          <t>divergencia_gt_15_alerta</t>
        </is>
      </c>
      <c r="U16" s="7" t="inlineStr">
        <is>
          <t>alta</t>
        </is>
      </c>
      <c r="V16" s="7" t="inlineStr">
        <is>
          <t>baja</t>
        </is>
      </c>
      <c r="W16" s="7" t="inlineStr">
        <is>
          <t>Factura</t>
        </is>
      </c>
      <c r="X16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7">
      <c r="A17" s="7" t="inlineStr">
        <is>
          <t>CERVEZA</t>
        </is>
      </c>
      <c r="B17" s="7" t="inlineStr">
        <is>
          <t>Producto 40006 — Variante 40006</t>
        </is>
      </c>
      <c r="C17" s="17" t="inlineStr">
        <is>
          <t>7800000040006</t>
        </is>
      </c>
      <c r="D17" s="26" t="inlineStr">
        <is>
          <t>P3 · MEDIO</t>
        </is>
      </c>
      <c r="E17" s="19" t="n">
        <v>10</v>
      </c>
      <c r="F17" s="20" t="n">
        <v>100</v>
      </c>
      <c r="G17" s="20" t="n">
        <v>120.5</v>
      </c>
      <c r="H17" s="27" t="n">
        <v>0.205</v>
      </c>
      <c r="I17" s="22">
        <f>IF(OR(E17="",F17="",G17=""),"",ABS(G17-F17)*E17)</f>
        <v/>
      </c>
      <c r="J17" s="7" t="inlineStr">
        <is>
          <t>revisar_recepcion_y_promedio</t>
        </is>
      </c>
      <c r="K17" s="17" t="inlineStr">
        <is>
          <t>123</t>
        </is>
      </c>
      <c r="L17" s="23" t="n">
        <v>46266</v>
      </c>
      <c r="M17" s="7" t="inlineStr">
        <is>
          <t>Bodega Central</t>
        </is>
      </c>
      <c r="N17" s="20" t="n">
        <v>1500</v>
      </c>
      <c r="O17" s="17" t="inlineStr">
        <is>
          <t>Sin precio</t>
        </is>
      </c>
      <c r="P17" s="20" t="n">
        <v>1400</v>
      </c>
      <c r="Q17" s="7" t="n">
        <v>40006</v>
      </c>
      <c r="R17" s="17" t="inlineStr">
        <is>
          <t>040006</t>
        </is>
      </c>
      <c r="S17" s="7" t="n">
        <v>6.58</v>
      </c>
      <c r="T17" s="7" t="inlineStr">
        <is>
          <t>divergencia_gt_15_alerta</t>
        </is>
      </c>
      <c r="U17" s="7" t="inlineStr">
        <is>
          <t>alta</t>
        </is>
      </c>
      <c r="V17" s="7" t="inlineStr">
        <is>
          <t>baja</t>
        </is>
      </c>
      <c r="W17" s="7" t="inlineStr">
        <is>
          <t>Factura</t>
        </is>
      </c>
      <c r="X17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8">
      <c r="A18" s="7" t="inlineStr">
        <is>
          <t>CERVEZA</t>
        </is>
      </c>
      <c r="B18" s="7" t="inlineStr">
        <is>
          <t>Producto 40007 — Variante 40007</t>
        </is>
      </c>
      <c r="C18" s="17" t="inlineStr">
        <is>
          <t>7800000040007</t>
        </is>
      </c>
      <c r="D18" s="26" t="inlineStr">
        <is>
          <t>P3 · MEDIO</t>
        </is>
      </c>
      <c r="E18" s="19" t="n">
        <v>10</v>
      </c>
      <c r="F18" s="20" t="n">
        <v>100</v>
      </c>
      <c r="G18" s="20" t="n">
        <v>120.5</v>
      </c>
      <c r="H18" s="27" t="n">
        <v>0.205</v>
      </c>
      <c r="I18" s="22">
        <f>IF(OR(E18="",F18="",G18=""),"",ABS(G18-F18)*E18)</f>
        <v/>
      </c>
      <c r="J18" s="7" t="inlineStr">
        <is>
          <t>revisar_recepcion_y_promedio</t>
        </is>
      </c>
      <c r="K18" s="17" t="inlineStr">
        <is>
          <t>123</t>
        </is>
      </c>
      <c r="L18" s="23" t="n">
        <v>46266</v>
      </c>
      <c r="M18" s="7" t="inlineStr">
        <is>
          <t>Bodega Central</t>
        </is>
      </c>
      <c r="N18" s="20" t="n">
        <v>1500</v>
      </c>
      <c r="O18" s="17" t="inlineStr">
        <is>
          <t>Sin precio</t>
        </is>
      </c>
      <c r="P18" s="20" t="n">
        <v>1400</v>
      </c>
      <c r="Q18" s="7" t="n">
        <v>40007</v>
      </c>
      <c r="R18" s="17" t="inlineStr">
        <is>
          <t>040007</t>
        </is>
      </c>
      <c r="S18" s="7" t="n">
        <v>6.58</v>
      </c>
      <c r="T18" s="7" t="inlineStr">
        <is>
          <t>divergencia_gt_15_alerta</t>
        </is>
      </c>
      <c r="U18" s="7" t="inlineStr">
        <is>
          <t>alta</t>
        </is>
      </c>
      <c r="V18" s="7" t="inlineStr">
        <is>
          <t>baja</t>
        </is>
      </c>
      <c r="W18" s="7" t="inlineStr">
        <is>
          <t>Factura</t>
        </is>
      </c>
      <c r="X18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19">
      <c r="A19" s="7" t="inlineStr">
        <is>
          <t>CERVEZA</t>
        </is>
      </c>
      <c r="B19" s="7" t="inlineStr">
        <is>
          <t>Producto 40008 — Variante 40008</t>
        </is>
      </c>
      <c r="C19" s="17" t="inlineStr">
        <is>
          <t>7800000040008</t>
        </is>
      </c>
      <c r="D19" s="26" t="inlineStr">
        <is>
          <t>P3 · MEDIO</t>
        </is>
      </c>
      <c r="E19" s="19" t="n">
        <v>10</v>
      </c>
      <c r="F19" s="20" t="n">
        <v>100</v>
      </c>
      <c r="G19" s="20" t="n">
        <v>120.5</v>
      </c>
      <c r="H19" s="27" t="n">
        <v>0.205</v>
      </c>
      <c r="I19" s="22">
        <f>IF(OR(E19="",F19="",G19=""),"",ABS(G19-F19)*E19)</f>
        <v/>
      </c>
      <c r="J19" s="7" t="inlineStr">
        <is>
          <t>revisar_recepcion_y_promedio</t>
        </is>
      </c>
      <c r="K19" s="17" t="inlineStr">
        <is>
          <t>123</t>
        </is>
      </c>
      <c r="L19" s="23" t="n">
        <v>46266</v>
      </c>
      <c r="M19" s="7" t="inlineStr">
        <is>
          <t>Bodega Central</t>
        </is>
      </c>
      <c r="N19" s="20" t="n">
        <v>1500</v>
      </c>
      <c r="O19" s="17" t="inlineStr">
        <is>
          <t>Sin precio</t>
        </is>
      </c>
      <c r="P19" s="20" t="n">
        <v>1400</v>
      </c>
      <c r="Q19" s="7" t="n">
        <v>40008</v>
      </c>
      <c r="R19" s="17" t="inlineStr">
        <is>
          <t>040008</t>
        </is>
      </c>
      <c r="S19" s="7" t="n">
        <v>6.58</v>
      </c>
      <c r="T19" s="7" t="inlineStr">
        <is>
          <t>divergencia_gt_15_alerta</t>
        </is>
      </c>
      <c r="U19" s="7" t="inlineStr">
        <is>
          <t>alta</t>
        </is>
      </c>
      <c r="V19" s="7" t="inlineStr">
        <is>
          <t>baja</t>
        </is>
      </c>
      <c r="W19" s="7" t="inlineStr">
        <is>
          <t>Factura</t>
        </is>
      </c>
      <c r="X19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0">
      <c r="A20" s="7" t="inlineStr">
        <is>
          <t>CERVEZA</t>
        </is>
      </c>
      <c r="B20" s="7" t="inlineStr">
        <is>
          <t>Producto 40009 — Variante 40009</t>
        </is>
      </c>
      <c r="C20" s="17" t="inlineStr">
        <is>
          <t>7800000040009</t>
        </is>
      </c>
      <c r="D20" s="26" t="inlineStr">
        <is>
          <t>P3 · MEDIO</t>
        </is>
      </c>
      <c r="E20" s="19" t="n">
        <v>10</v>
      </c>
      <c r="F20" s="20" t="n">
        <v>100</v>
      </c>
      <c r="G20" s="20" t="n">
        <v>120.5</v>
      </c>
      <c r="H20" s="27" t="n">
        <v>0.205</v>
      </c>
      <c r="I20" s="22">
        <f>IF(OR(E20="",F20="",G20=""),"",ABS(G20-F20)*E20)</f>
        <v/>
      </c>
      <c r="J20" s="7" t="inlineStr">
        <is>
          <t>revisar_recepcion_y_promedio</t>
        </is>
      </c>
      <c r="K20" s="17" t="inlineStr">
        <is>
          <t>123</t>
        </is>
      </c>
      <c r="L20" s="23" t="n">
        <v>46266</v>
      </c>
      <c r="M20" s="7" t="inlineStr">
        <is>
          <t>Bodega Central</t>
        </is>
      </c>
      <c r="N20" s="20" t="n">
        <v>1500</v>
      </c>
      <c r="O20" s="17" t="inlineStr">
        <is>
          <t>Sin precio</t>
        </is>
      </c>
      <c r="P20" s="20" t="n">
        <v>1400</v>
      </c>
      <c r="Q20" s="7" t="n">
        <v>40009</v>
      </c>
      <c r="R20" s="17" t="inlineStr">
        <is>
          <t>040009</t>
        </is>
      </c>
      <c r="S20" s="7" t="n">
        <v>6.58</v>
      </c>
      <c r="T20" s="7" t="inlineStr">
        <is>
          <t>divergencia_gt_15_alerta</t>
        </is>
      </c>
      <c r="U20" s="7" t="inlineStr">
        <is>
          <t>alta</t>
        </is>
      </c>
      <c r="V20" s="7" t="inlineStr">
        <is>
          <t>baja</t>
        </is>
      </c>
      <c r="W20" s="7" t="inlineStr">
        <is>
          <t>Factura</t>
        </is>
      </c>
      <c r="X20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1">
      <c r="A21" s="7" t="inlineStr">
        <is>
          <t>CERVEZA</t>
        </is>
      </c>
      <c r="B21" s="7" t="inlineStr">
        <is>
          <t>Producto 40010 — Variante 40010</t>
        </is>
      </c>
      <c r="C21" s="17" t="inlineStr">
        <is>
          <t>7800000040010</t>
        </is>
      </c>
      <c r="D21" s="26" t="inlineStr">
        <is>
          <t>P3 · MEDIO</t>
        </is>
      </c>
      <c r="E21" s="19" t="n">
        <v>10</v>
      </c>
      <c r="F21" s="20" t="n">
        <v>100</v>
      </c>
      <c r="G21" s="20" t="n">
        <v>120.5</v>
      </c>
      <c r="H21" s="27" t="n">
        <v>0.205</v>
      </c>
      <c r="I21" s="22">
        <f>IF(OR(E21="",F21="",G21=""),"",ABS(G21-F21)*E21)</f>
        <v/>
      </c>
      <c r="J21" s="7" t="inlineStr">
        <is>
          <t>revisar_recepcion_y_promedio</t>
        </is>
      </c>
      <c r="K21" s="17" t="inlineStr">
        <is>
          <t>123</t>
        </is>
      </c>
      <c r="L21" s="23" t="n">
        <v>46266</v>
      </c>
      <c r="M21" s="7" t="inlineStr">
        <is>
          <t>Bodega Central</t>
        </is>
      </c>
      <c r="N21" s="20" t="n">
        <v>1500</v>
      </c>
      <c r="O21" s="17" t="inlineStr">
        <is>
          <t>Sin precio</t>
        </is>
      </c>
      <c r="P21" s="20" t="n">
        <v>1400</v>
      </c>
      <c r="Q21" s="7" t="n">
        <v>40010</v>
      </c>
      <c r="R21" s="17" t="inlineStr">
        <is>
          <t>040010</t>
        </is>
      </c>
      <c r="S21" s="7" t="n">
        <v>6.58</v>
      </c>
      <c r="T21" s="7" t="inlineStr">
        <is>
          <t>divergencia_gt_15_alerta</t>
        </is>
      </c>
      <c r="U21" s="7" t="inlineStr">
        <is>
          <t>alta</t>
        </is>
      </c>
      <c r="V21" s="7" t="inlineStr">
        <is>
          <t>baja</t>
        </is>
      </c>
      <c r="W21" s="7" t="inlineStr">
        <is>
          <t>Factura</t>
        </is>
      </c>
      <c r="X21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2">
      <c r="A22" s="7" t="inlineStr">
        <is>
          <t>CERVEZA</t>
        </is>
      </c>
      <c r="B22" s="7" t="inlineStr">
        <is>
          <t>Producto 40011 — Variante 40011</t>
        </is>
      </c>
      <c r="C22" s="17" t="inlineStr">
        <is>
          <t>7800000040011</t>
        </is>
      </c>
      <c r="D22" s="26" t="inlineStr">
        <is>
          <t>P3 · MEDIO</t>
        </is>
      </c>
      <c r="E22" s="19" t="n">
        <v>10</v>
      </c>
      <c r="F22" s="20" t="n">
        <v>100</v>
      </c>
      <c r="G22" s="20" t="n">
        <v>120.5</v>
      </c>
      <c r="H22" s="27" t="n">
        <v>0.205</v>
      </c>
      <c r="I22" s="22">
        <f>IF(OR(E22="",F22="",G22=""),"",ABS(G22-F22)*E22)</f>
        <v/>
      </c>
      <c r="J22" s="7" t="inlineStr">
        <is>
          <t>revisar_recepcion_y_promedio</t>
        </is>
      </c>
      <c r="K22" s="17" t="inlineStr">
        <is>
          <t>123</t>
        </is>
      </c>
      <c r="L22" s="23" t="n">
        <v>46266</v>
      </c>
      <c r="M22" s="7" t="inlineStr">
        <is>
          <t>Bodega Central</t>
        </is>
      </c>
      <c r="N22" s="20" t="n">
        <v>1500</v>
      </c>
      <c r="O22" s="17" t="inlineStr">
        <is>
          <t>Sin precio</t>
        </is>
      </c>
      <c r="P22" s="20" t="n">
        <v>1400</v>
      </c>
      <c r="Q22" s="7" t="n">
        <v>40011</v>
      </c>
      <c r="R22" s="17" t="inlineStr">
        <is>
          <t>040011</t>
        </is>
      </c>
      <c r="S22" s="7" t="n">
        <v>6.58</v>
      </c>
      <c r="T22" s="7" t="inlineStr">
        <is>
          <t>divergencia_gt_15_alerta</t>
        </is>
      </c>
      <c r="U22" s="7" t="inlineStr">
        <is>
          <t>alta</t>
        </is>
      </c>
      <c r="V22" s="7" t="inlineStr">
        <is>
          <t>baja</t>
        </is>
      </c>
      <c r="W22" s="7" t="inlineStr">
        <is>
          <t>Factura</t>
        </is>
      </c>
      <c r="X22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3">
      <c r="A23" s="7" t="inlineStr">
        <is>
          <t>CERVEZA</t>
        </is>
      </c>
      <c r="B23" s="7" t="inlineStr">
        <is>
          <t>Producto 40012 — Variante 40012</t>
        </is>
      </c>
      <c r="C23" s="17" t="inlineStr">
        <is>
          <t>7800000040012</t>
        </is>
      </c>
      <c r="D23" s="26" t="inlineStr">
        <is>
          <t>P3 · MEDIO</t>
        </is>
      </c>
      <c r="E23" s="19" t="n">
        <v>10</v>
      </c>
      <c r="F23" s="20" t="n">
        <v>100</v>
      </c>
      <c r="G23" s="20" t="n">
        <v>120.5</v>
      </c>
      <c r="H23" s="27" t="n">
        <v>0.205</v>
      </c>
      <c r="I23" s="22">
        <f>IF(OR(E23="",F23="",G23=""),"",ABS(G23-F23)*E23)</f>
        <v/>
      </c>
      <c r="J23" s="7" t="inlineStr">
        <is>
          <t>revisar_recepcion_y_promedio</t>
        </is>
      </c>
      <c r="K23" s="17" t="inlineStr">
        <is>
          <t>123</t>
        </is>
      </c>
      <c r="L23" s="23" t="n">
        <v>46266</v>
      </c>
      <c r="M23" s="7" t="inlineStr">
        <is>
          <t>Bodega Central</t>
        </is>
      </c>
      <c r="N23" s="20" t="n">
        <v>1500</v>
      </c>
      <c r="O23" s="17" t="inlineStr">
        <is>
          <t>Sin precio</t>
        </is>
      </c>
      <c r="P23" s="20" t="n">
        <v>1400</v>
      </c>
      <c r="Q23" s="7" t="n">
        <v>40012</v>
      </c>
      <c r="R23" s="17" t="inlineStr">
        <is>
          <t>040012</t>
        </is>
      </c>
      <c r="S23" s="7" t="n">
        <v>6.58</v>
      </c>
      <c r="T23" s="7" t="inlineStr">
        <is>
          <t>divergencia_gt_15_alerta</t>
        </is>
      </c>
      <c r="U23" s="7" t="inlineStr">
        <is>
          <t>alta</t>
        </is>
      </c>
      <c r="V23" s="7" t="inlineStr">
        <is>
          <t>baja</t>
        </is>
      </c>
      <c r="W23" s="7" t="inlineStr">
        <is>
          <t>Factura</t>
        </is>
      </c>
      <c r="X23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4">
      <c r="A24" s="7" t="inlineStr">
        <is>
          <t>CERVEZA</t>
        </is>
      </c>
      <c r="B24" s="7" t="inlineStr">
        <is>
          <t>Producto 40013 — Variante 40013</t>
        </is>
      </c>
      <c r="C24" s="17" t="inlineStr">
        <is>
          <t>7800000040013</t>
        </is>
      </c>
      <c r="D24" s="26" t="inlineStr">
        <is>
          <t>P3 · MEDIO</t>
        </is>
      </c>
      <c r="E24" s="19" t="n">
        <v>10</v>
      </c>
      <c r="F24" s="20" t="n">
        <v>100</v>
      </c>
      <c r="G24" s="20" t="n">
        <v>120.5</v>
      </c>
      <c r="H24" s="27" t="n">
        <v>0.205</v>
      </c>
      <c r="I24" s="22">
        <f>IF(OR(E24="",F24="",G24=""),"",ABS(G24-F24)*E24)</f>
        <v/>
      </c>
      <c r="J24" s="7" t="inlineStr">
        <is>
          <t>revisar_recepcion_y_promedio</t>
        </is>
      </c>
      <c r="K24" s="17" t="inlineStr">
        <is>
          <t>123</t>
        </is>
      </c>
      <c r="L24" s="23" t="n">
        <v>46266</v>
      </c>
      <c r="M24" s="7" t="inlineStr">
        <is>
          <t>Bodega Central</t>
        </is>
      </c>
      <c r="N24" s="20" t="n">
        <v>1500</v>
      </c>
      <c r="O24" s="17" t="inlineStr">
        <is>
          <t>Sin precio</t>
        </is>
      </c>
      <c r="P24" s="20" t="n">
        <v>1400</v>
      </c>
      <c r="Q24" s="7" t="n">
        <v>40013</v>
      </c>
      <c r="R24" s="17" t="inlineStr">
        <is>
          <t>040013</t>
        </is>
      </c>
      <c r="S24" s="7" t="n">
        <v>6.58</v>
      </c>
      <c r="T24" s="7" t="inlineStr">
        <is>
          <t>divergencia_gt_15_alerta</t>
        </is>
      </c>
      <c r="U24" s="7" t="inlineStr">
        <is>
          <t>alta</t>
        </is>
      </c>
      <c r="V24" s="7" t="inlineStr">
        <is>
          <t>baja</t>
        </is>
      </c>
      <c r="W24" s="7" t="inlineStr">
        <is>
          <t>Factura</t>
        </is>
      </c>
      <c r="X24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5">
      <c r="A25" s="7" t="inlineStr">
        <is>
          <t>CERVEZA</t>
        </is>
      </c>
      <c r="B25" s="7" t="inlineStr">
        <is>
          <t>Producto 40014 — Variante 40014</t>
        </is>
      </c>
      <c r="C25" s="17" t="inlineStr">
        <is>
          <t>7800000040014</t>
        </is>
      </c>
      <c r="D25" s="26" t="inlineStr">
        <is>
          <t>P3 · MEDIO</t>
        </is>
      </c>
      <c r="E25" s="19" t="n">
        <v>10</v>
      </c>
      <c r="F25" s="20" t="n">
        <v>100</v>
      </c>
      <c r="G25" s="20" t="n">
        <v>120.5</v>
      </c>
      <c r="H25" s="27" t="n">
        <v>0.205</v>
      </c>
      <c r="I25" s="22">
        <f>IF(OR(E25="",F25="",G25=""),"",ABS(G25-F25)*E25)</f>
        <v/>
      </c>
      <c r="J25" s="7" t="inlineStr">
        <is>
          <t>revisar_recepcion_y_promedio</t>
        </is>
      </c>
      <c r="K25" s="17" t="inlineStr">
        <is>
          <t>123</t>
        </is>
      </c>
      <c r="L25" s="23" t="n">
        <v>46266</v>
      </c>
      <c r="M25" s="7" t="inlineStr">
        <is>
          <t>Bodega Central</t>
        </is>
      </c>
      <c r="N25" s="20" t="n">
        <v>1500</v>
      </c>
      <c r="O25" s="17" t="inlineStr">
        <is>
          <t>Sin precio</t>
        </is>
      </c>
      <c r="P25" s="20" t="n">
        <v>1400</v>
      </c>
      <c r="Q25" s="7" t="n">
        <v>40014</v>
      </c>
      <c r="R25" s="17" t="inlineStr">
        <is>
          <t>040014</t>
        </is>
      </c>
      <c r="S25" s="7" t="n">
        <v>6.58</v>
      </c>
      <c r="T25" s="7" t="inlineStr">
        <is>
          <t>divergencia_gt_15_alerta</t>
        </is>
      </c>
      <c r="U25" s="7" t="inlineStr">
        <is>
          <t>alta</t>
        </is>
      </c>
      <c r="V25" s="7" t="inlineStr">
        <is>
          <t>baja</t>
        </is>
      </c>
      <c r="W25" s="7" t="inlineStr">
        <is>
          <t>Factura</t>
        </is>
      </c>
      <c r="X25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6">
      <c r="A26" s="7" t="inlineStr">
        <is>
          <t>CERVEZA</t>
        </is>
      </c>
      <c r="B26" s="7" t="inlineStr">
        <is>
          <t>Producto 40015 — Variante 40015</t>
        </is>
      </c>
      <c r="C26" s="17" t="inlineStr">
        <is>
          <t>7800000040015</t>
        </is>
      </c>
      <c r="D26" s="26" t="inlineStr">
        <is>
          <t>P3 · MEDIO</t>
        </is>
      </c>
      <c r="E26" s="19" t="n">
        <v>10</v>
      </c>
      <c r="F26" s="20" t="n">
        <v>100</v>
      </c>
      <c r="G26" s="20" t="n">
        <v>120.5</v>
      </c>
      <c r="H26" s="27" t="n">
        <v>0.205</v>
      </c>
      <c r="I26" s="22">
        <f>IF(OR(E26="",F26="",G26=""),"",ABS(G26-F26)*E26)</f>
        <v/>
      </c>
      <c r="J26" s="7" t="inlineStr">
        <is>
          <t>revisar_recepcion_y_promedio</t>
        </is>
      </c>
      <c r="K26" s="17" t="inlineStr">
        <is>
          <t>123</t>
        </is>
      </c>
      <c r="L26" s="23" t="n">
        <v>46266</v>
      </c>
      <c r="M26" s="7" t="inlineStr">
        <is>
          <t>Bodega Central</t>
        </is>
      </c>
      <c r="N26" s="20" t="n">
        <v>1500</v>
      </c>
      <c r="O26" s="17" t="inlineStr">
        <is>
          <t>Sin precio</t>
        </is>
      </c>
      <c r="P26" s="20" t="n">
        <v>1400</v>
      </c>
      <c r="Q26" s="7" t="n">
        <v>40015</v>
      </c>
      <c r="R26" s="17" t="inlineStr">
        <is>
          <t>040015</t>
        </is>
      </c>
      <c r="S26" s="7" t="n">
        <v>6.58</v>
      </c>
      <c r="T26" s="7" t="inlineStr">
        <is>
          <t>divergencia_gt_15_alerta</t>
        </is>
      </c>
      <c r="U26" s="7" t="inlineStr">
        <is>
          <t>alta</t>
        </is>
      </c>
      <c r="V26" s="7" t="inlineStr">
        <is>
          <t>baja</t>
        </is>
      </c>
      <c r="W26" s="7" t="inlineStr">
        <is>
          <t>Factura</t>
        </is>
      </c>
      <c r="X26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7">
      <c r="A27" s="7" t="inlineStr">
        <is>
          <t>CERVEZA</t>
        </is>
      </c>
      <c r="B27" s="7" t="inlineStr">
        <is>
          <t>Producto 40016 — Variante 40016</t>
        </is>
      </c>
      <c r="C27" s="17" t="inlineStr">
        <is>
          <t>7800000040016</t>
        </is>
      </c>
      <c r="D27" s="26" t="inlineStr">
        <is>
          <t>P3 · MEDIO</t>
        </is>
      </c>
      <c r="E27" s="19" t="n">
        <v>10</v>
      </c>
      <c r="F27" s="20" t="n">
        <v>100</v>
      </c>
      <c r="G27" s="20" t="n">
        <v>120.5</v>
      </c>
      <c r="H27" s="27" t="n">
        <v>0.205</v>
      </c>
      <c r="I27" s="22">
        <f>IF(OR(E27="",F27="",G27=""),"",ABS(G27-F27)*E27)</f>
        <v/>
      </c>
      <c r="J27" s="7" t="inlineStr">
        <is>
          <t>revisar_recepcion_y_promedio</t>
        </is>
      </c>
      <c r="K27" s="17" t="inlineStr">
        <is>
          <t>123</t>
        </is>
      </c>
      <c r="L27" s="23" t="n">
        <v>46266</v>
      </c>
      <c r="M27" s="7" t="inlineStr">
        <is>
          <t>Bodega Central</t>
        </is>
      </c>
      <c r="N27" s="20" t="n">
        <v>1500</v>
      </c>
      <c r="O27" s="17" t="inlineStr">
        <is>
          <t>Sin precio</t>
        </is>
      </c>
      <c r="P27" s="20" t="n">
        <v>1400</v>
      </c>
      <c r="Q27" s="7" t="n">
        <v>40016</v>
      </c>
      <c r="R27" s="17" t="inlineStr">
        <is>
          <t>040016</t>
        </is>
      </c>
      <c r="S27" s="7" t="n">
        <v>6.58</v>
      </c>
      <c r="T27" s="7" t="inlineStr">
        <is>
          <t>divergencia_gt_15_alerta</t>
        </is>
      </c>
      <c r="U27" s="7" t="inlineStr">
        <is>
          <t>alta</t>
        </is>
      </c>
      <c r="V27" s="7" t="inlineStr">
        <is>
          <t>baja</t>
        </is>
      </c>
      <c r="W27" s="7" t="inlineStr">
        <is>
          <t>Factura</t>
        </is>
      </c>
      <c r="X27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8">
      <c r="A28" s="7" t="inlineStr">
        <is>
          <t>CERVEZA</t>
        </is>
      </c>
      <c r="B28" s="7" t="inlineStr">
        <is>
          <t>Producto 40017 — Variante 40017</t>
        </is>
      </c>
      <c r="C28" s="17" t="inlineStr">
        <is>
          <t>7800000040017</t>
        </is>
      </c>
      <c r="D28" s="26" t="inlineStr">
        <is>
          <t>P3 · MEDIO</t>
        </is>
      </c>
      <c r="E28" s="19" t="n">
        <v>10</v>
      </c>
      <c r="F28" s="20" t="n">
        <v>100</v>
      </c>
      <c r="G28" s="20" t="n">
        <v>120.5</v>
      </c>
      <c r="H28" s="27" t="n">
        <v>0.205</v>
      </c>
      <c r="I28" s="22">
        <f>IF(OR(E28="",F28="",G28=""),"",ABS(G28-F28)*E28)</f>
        <v/>
      </c>
      <c r="J28" s="7" t="inlineStr">
        <is>
          <t>revisar_recepcion_y_promedio</t>
        </is>
      </c>
      <c r="K28" s="17" t="inlineStr">
        <is>
          <t>123</t>
        </is>
      </c>
      <c r="L28" s="23" t="n">
        <v>46266</v>
      </c>
      <c r="M28" s="7" t="inlineStr">
        <is>
          <t>Bodega Central</t>
        </is>
      </c>
      <c r="N28" s="20" t="n">
        <v>1500</v>
      </c>
      <c r="O28" s="17" t="inlineStr">
        <is>
          <t>Sin precio</t>
        </is>
      </c>
      <c r="P28" s="20" t="n">
        <v>1400</v>
      </c>
      <c r="Q28" s="7" t="n">
        <v>40017</v>
      </c>
      <c r="R28" s="17" t="inlineStr">
        <is>
          <t>040017</t>
        </is>
      </c>
      <c r="S28" s="7" t="n">
        <v>6.58</v>
      </c>
      <c r="T28" s="7" t="inlineStr">
        <is>
          <t>divergencia_gt_15_alerta</t>
        </is>
      </c>
      <c r="U28" s="7" t="inlineStr">
        <is>
          <t>alta</t>
        </is>
      </c>
      <c r="V28" s="7" t="inlineStr">
        <is>
          <t>baja</t>
        </is>
      </c>
      <c r="W28" s="7" t="inlineStr">
        <is>
          <t>Factura</t>
        </is>
      </c>
      <c r="X28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29">
      <c r="A29" s="7" t="inlineStr">
        <is>
          <t>CERVEZA</t>
        </is>
      </c>
      <c r="B29" s="7" t="inlineStr">
        <is>
          <t>Producto 40018 — Variante 40018</t>
        </is>
      </c>
      <c r="C29" s="17" t="inlineStr">
        <is>
          <t>7800000040018</t>
        </is>
      </c>
      <c r="D29" s="26" t="inlineStr">
        <is>
          <t>P3 · MEDIO</t>
        </is>
      </c>
      <c r="E29" s="19" t="n">
        <v>10</v>
      </c>
      <c r="F29" s="20" t="n">
        <v>100</v>
      </c>
      <c r="G29" s="20" t="n">
        <v>120.5</v>
      </c>
      <c r="H29" s="27" t="n">
        <v>0.205</v>
      </c>
      <c r="I29" s="22">
        <f>IF(OR(E29="",F29="",G29=""),"",ABS(G29-F29)*E29)</f>
        <v/>
      </c>
      <c r="J29" s="7" t="inlineStr">
        <is>
          <t>revisar_recepcion_y_promedio</t>
        </is>
      </c>
      <c r="K29" s="17" t="inlineStr">
        <is>
          <t>123</t>
        </is>
      </c>
      <c r="L29" s="23" t="n">
        <v>46266</v>
      </c>
      <c r="M29" s="7" t="inlineStr">
        <is>
          <t>Bodega Central</t>
        </is>
      </c>
      <c r="N29" s="20" t="n">
        <v>1500</v>
      </c>
      <c r="O29" s="17" t="inlineStr">
        <is>
          <t>Sin precio</t>
        </is>
      </c>
      <c r="P29" s="20" t="n">
        <v>1400</v>
      </c>
      <c r="Q29" s="7" t="n">
        <v>40018</v>
      </c>
      <c r="R29" s="17" t="inlineStr">
        <is>
          <t>040018</t>
        </is>
      </c>
      <c r="S29" s="7" t="n">
        <v>6.58</v>
      </c>
      <c r="T29" s="7" t="inlineStr">
        <is>
          <t>divergencia_gt_15_alerta</t>
        </is>
      </c>
      <c r="U29" s="7" t="inlineStr">
        <is>
          <t>alta</t>
        </is>
      </c>
      <c r="V29" s="7" t="inlineStr">
        <is>
          <t>baja</t>
        </is>
      </c>
      <c r="W29" s="7" t="inlineStr">
        <is>
          <t>Factura</t>
        </is>
      </c>
      <c r="X29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0">
      <c r="A30" s="7" t="inlineStr">
        <is>
          <t>CERVEZA</t>
        </is>
      </c>
      <c r="B30" s="7" t="inlineStr">
        <is>
          <t>Producto 40019 — Variante 40019</t>
        </is>
      </c>
      <c r="C30" s="17" t="inlineStr">
        <is>
          <t>7800000040019</t>
        </is>
      </c>
      <c r="D30" s="26" t="inlineStr">
        <is>
          <t>P3 · MEDIO</t>
        </is>
      </c>
      <c r="E30" s="19" t="n">
        <v>10</v>
      </c>
      <c r="F30" s="20" t="n">
        <v>100</v>
      </c>
      <c r="G30" s="20" t="n">
        <v>120.5</v>
      </c>
      <c r="H30" s="27" t="n">
        <v>0.205</v>
      </c>
      <c r="I30" s="22">
        <f>IF(OR(E30="",F30="",G30=""),"",ABS(G30-F30)*E30)</f>
        <v/>
      </c>
      <c r="J30" s="7" t="inlineStr">
        <is>
          <t>revisar_recepcion_y_promedio</t>
        </is>
      </c>
      <c r="K30" s="17" t="inlineStr">
        <is>
          <t>123</t>
        </is>
      </c>
      <c r="L30" s="23" t="n">
        <v>46266</v>
      </c>
      <c r="M30" s="7" t="inlineStr">
        <is>
          <t>Bodega Central</t>
        </is>
      </c>
      <c r="N30" s="20" t="n">
        <v>1500</v>
      </c>
      <c r="O30" s="17" t="inlineStr">
        <is>
          <t>Sin precio</t>
        </is>
      </c>
      <c r="P30" s="20" t="n">
        <v>1400</v>
      </c>
      <c r="Q30" s="7" t="n">
        <v>40019</v>
      </c>
      <c r="R30" s="17" t="inlineStr">
        <is>
          <t>040019</t>
        </is>
      </c>
      <c r="S30" s="7" t="n">
        <v>6.58</v>
      </c>
      <c r="T30" s="7" t="inlineStr">
        <is>
          <t>divergencia_gt_15_alerta</t>
        </is>
      </c>
      <c r="U30" s="7" t="inlineStr">
        <is>
          <t>alta</t>
        </is>
      </c>
      <c r="V30" s="7" t="inlineStr">
        <is>
          <t>baja</t>
        </is>
      </c>
      <c r="W30" s="7" t="inlineStr">
        <is>
          <t>Factura</t>
        </is>
      </c>
      <c r="X30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1">
      <c r="A31" s="7" t="inlineStr">
        <is>
          <t>CERVEZA</t>
        </is>
      </c>
      <c r="B31" s="7" t="inlineStr">
        <is>
          <t>Producto 40020 — Variante 40020</t>
        </is>
      </c>
      <c r="C31" s="17" t="inlineStr">
        <is>
          <t>7800000040020</t>
        </is>
      </c>
      <c r="D31" s="26" t="inlineStr">
        <is>
          <t>P3 · MEDIO</t>
        </is>
      </c>
      <c r="E31" s="19" t="n">
        <v>10</v>
      </c>
      <c r="F31" s="20" t="n">
        <v>100</v>
      </c>
      <c r="G31" s="20" t="n">
        <v>120.5</v>
      </c>
      <c r="H31" s="27" t="n">
        <v>0.205</v>
      </c>
      <c r="I31" s="22">
        <f>IF(OR(E31="",F31="",G31=""),"",ABS(G31-F31)*E31)</f>
        <v/>
      </c>
      <c r="J31" s="7" t="inlineStr">
        <is>
          <t>revisar_recepcion_y_promedio</t>
        </is>
      </c>
      <c r="K31" s="17" t="inlineStr">
        <is>
          <t>123</t>
        </is>
      </c>
      <c r="L31" s="23" t="n">
        <v>46266</v>
      </c>
      <c r="M31" s="7" t="inlineStr">
        <is>
          <t>Bodega Central</t>
        </is>
      </c>
      <c r="N31" s="20" t="n">
        <v>1500</v>
      </c>
      <c r="O31" s="17" t="inlineStr">
        <is>
          <t>Sin precio</t>
        </is>
      </c>
      <c r="P31" s="20" t="n">
        <v>1400</v>
      </c>
      <c r="Q31" s="7" t="n">
        <v>40020</v>
      </c>
      <c r="R31" s="17" t="inlineStr">
        <is>
          <t>040020</t>
        </is>
      </c>
      <c r="S31" s="7" t="n">
        <v>6.58</v>
      </c>
      <c r="T31" s="7" t="inlineStr">
        <is>
          <t>divergencia_gt_15_alerta</t>
        </is>
      </c>
      <c r="U31" s="7" t="inlineStr">
        <is>
          <t>alta</t>
        </is>
      </c>
      <c r="V31" s="7" t="inlineStr">
        <is>
          <t>baja</t>
        </is>
      </c>
      <c r="W31" s="7" t="inlineStr">
        <is>
          <t>Factura</t>
        </is>
      </c>
      <c r="X31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2">
      <c r="A32" s="7" t="inlineStr">
        <is>
          <t>CERVEZA</t>
        </is>
      </c>
      <c r="B32" s="7" t="inlineStr">
        <is>
          <t>Producto 40021 — Variante 40021</t>
        </is>
      </c>
      <c r="C32" s="17" t="inlineStr">
        <is>
          <t>7800000040021</t>
        </is>
      </c>
      <c r="D32" s="26" t="inlineStr">
        <is>
          <t>P3 · MEDIO</t>
        </is>
      </c>
      <c r="E32" s="19" t="n">
        <v>10</v>
      </c>
      <c r="F32" s="20" t="n">
        <v>100</v>
      </c>
      <c r="G32" s="20" t="n">
        <v>120.5</v>
      </c>
      <c r="H32" s="27" t="n">
        <v>0.205</v>
      </c>
      <c r="I32" s="22">
        <f>IF(OR(E32="",F32="",G32=""),"",ABS(G32-F32)*E32)</f>
        <v/>
      </c>
      <c r="J32" s="7" t="inlineStr">
        <is>
          <t>revisar_recepcion_y_promedio</t>
        </is>
      </c>
      <c r="K32" s="17" t="inlineStr">
        <is>
          <t>123</t>
        </is>
      </c>
      <c r="L32" s="23" t="n">
        <v>46266</v>
      </c>
      <c r="M32" s="7" t="inlineStr">
        <is>
          <t>Bodega Central</t>
        </is>
      </c>
      <c r="N32" s="20" t="n">
        <v>1500</v>
      </c>
      <c r="O32" s="17" t="inlineStr">
        <is>
          <t>Sin precio</t>
        </is>
      </c>
      <c r="P32" s="20" t="n">
        <v>1400</v>
      </c>
      <c r="Q32" s="7" t="n">
        <v>40021</v>
      </c>
      <c r="R32" s="17" t="inlineStr">
        <is>
          <t>040021</t>
        </is>
      </c>
      <c r="S32" s="7" t="n">
        <v>6.58</v>
      </c>
      <c r="T32" s="7" t="inlineStr">
        <is>
          <t>divergencia_gt_15_alerta</t>
        </is>
      </c>
      <c r="U32" s="7" t="inlineStr">
        <is>
          <t>alta</t>
        </is>
      </c>
      <c r="V32" s="7" t="inlineStr">
        <is>
          <t>baja</t>
        </is>
      </c>
      <c r="W32" s="7" t="inlineStr">
        <is>
          <t>Factura</t>
        </is>
      </c>
      <c r="X32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3">
      <c r="A33" s="7" t="inlineStr">
        <is>
          <t>CERVEZA</t>
        </is>
      </c>
      <c r="B33" s="7" t="inlineStr">
        <is>
          <t>Producto 40022 — Variante 40022</t>
        </is>
      </c>
      <c r="C33" s="17" t="inlineStr">
        <is>
          <t>7800000040022</t>
        </is>
      </c>
      <c r="D33" s="26" t="inlineStr">
        <is>
          <t>P3 · MEDIO</t>
        </is>
      </c>
      <c r="E33" s="19" t="n">
        <v>10</v>
      </c>
      <c r="F33" s="20" t="n">
        <v>100</v>
      </c>
      <c r="G33" s="20" t="n">
        <v>120.5</v>
      </c>
      <c r="H33" s="27" t="n">
        <v>0.205</v>
      </c>
      <c r="I33" s="22">
        <f>IF(OR(E33="",F33="",G33=""),"",ABS(G33-F33)*E33)</f>
        <v/>
      </c>
      <c r="J33" s="7" t="inlineStr">
        <is>
          <t>revisar_recepcion_y_promedio</t>
        </is>
      </c>
      <c r="K33" s="17" t="inlineStr">
        <is>
          <t>123</t>
        </is>
      </c>
      <c r="L33" s="23" t="n">
        <v>46266</v>
      </c>
      <c r="M33" s="7" t="inlineStr">
        <is>
          <t>Bodega Central</t>
        </is>
      </c>
      <c r="N33" s="20" t="n">
        <v>1500</v>
      </c>
      <c r="O33" s="17" t="inlineStr">
        <is>
          <t>Sin precio</t>
        </is>
      </c>
      <c r="P33" s="20" t="n">
        <v>1400</v>
      </c>
      <c r="Q33" s="7" t="n">
        <v>40022</v>
      </c>
      <c r="R33" s="17" t="inlineStr">
        <is>
          <t>040022</t>
        </is>
      </c>
      <c r="S33" s="7" t="n">
        <v>6.58</v>
      </c>
      <c r="T33" s="7" t="inlineStr">
        <is>
          <t>divergencia_gt_15_alerta</t>
        </is>
      </c>
      <c r="U33" s="7" t="inlineStr">
        <is>
          <t>alta</t>
        </is>
      </c>
      <c r="V33" s="7" t="inlineStr">
        <is>
          <t>baja</t>
        </is>
      </c>
      <c r="W33" s="7" t="inlineStr">
        <is>
          <t>Factura</t>
        </is>
      </c>
      <c r="X33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4">
      <c r="A34" s="7" t="inlineStr">
        <is>
          <t>CERVEZA</t>
        </is>
      </c>
      <c r="B34" s="7" t="inlineStr">
        <is>
          <t>Producto 40023 — Variante 40023</t>
        </is>
      </c>
      <c r="C34" s="17" t="inlineStr">
        <is>
          <t>7800000040023</t>
        </is>
      </c>
      <c r="D34" s="26" t="inlineStr">
        <is>
          <t>P3 · MEDIO</t>
        </is>
      </c>
      <c r="E34" s="19" t="n">
        <v>10</v>
      </c>
      <c r="F34" s="20" t="n">
        <v>100</v>
      </c>
      <c r="G34" s="20" t="n">
        <v>120.5</v>
      </c>
      <c r="H34" s="27" t="n">
        <v>0.205</v>
      </c>
      <c r="I34" s="22">
        <f>IF(OR(E34="",F34="",G34=""),"",ABS(G34-F34)*E34)</f>
        <v/>
      </c>
      <c r="J34" s="7" t="inlineStr">
        <is>
          <t>revisar_recepcion_y_promedio</t>
        </is>
      </c>
      <c r="K34" s="17" t="inlineStr">
        <is>
          <t>123</t>
        </is>
      </c>
      <c r="L34" s="23" t="n">
        <v>46266</v>
      </c>
      <c r="M34" s="7" t="inlineStr">
        <is>
          <t>Bodega Central</t>
        </is>
      </c>
      <c r="N34" s="20" t="n">
        <v>1500</v>
      </c>
      <c r="O34" s="17" t="inlineStr">
        <is>
          <t>Sin precio</t>
        </is>
      </c>
      <c r="P34" s="20" t="n">
        <v>1400</v>
      </c>
      <c r="Q34" s="7" t="n">
        <v>40023</v>
      </c>
      <c r="R34" s="17" t="inlineStr">
        <is>
          <t>040023</t>
        </is>
      </c>
      <c r="S34" s="7" t="n">
        <v>6.58</v>
      </c>
      <c r="T34" s="7" t="inlineStr">
        <is>
          <t>divergencia_gt_15_alerta</t>
        </is>
      </c>
      <c r="U34" s="7" t="inlineStr">
        <is>
          <t>alta</t>
        </is>
      </c>
      <c r="V34" s="7" t="inlineStr">
        <is>
          <t>baja</t>
        </is>
      </c>
      <c r="W34" s="7" t="inlineStr">
        <is>
          <t>Factura</t>
        </is>
      </c>
      <c r="X34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5">
      <c r="A35" s="7" t="inlineStr">
        <is>
          <t>CERVEZA</t>
        </is>
      </c>
      <c r="B35" s="7" t="inlineStr">
        <is>
          <t>Producto 40024 — Variante 40024</t>
        </is>
      </c>
      <c r="C35" s="17" t="inlineStr">
        <is>
          <t>7800000040024</t>
        </is>
      </c>
      <c r="D35" s="26" t="inlineStr">
        <is>
          <t>P3 · MEDIO</t>
        </is>
      </c>
      <c r="E35" s="19" t="n">
        <v>10</v>
      </c>
      <c r="F35" s="20" t="n">
        <v>100</v>
      </c>
      <c r="G35" s="20" t="n">
        <v>120.5</v>
      </c>
      <c r="H35" s="27" t="n">
        <v>0.205</v>
      </c>
      <c r="I35" s="22">
        <f>IF(OR(E35="",F35="",G35=""),"",ABS(G35-F35)*E35)</f>
        <v/>
      </c>
      <c r="J35" s="7" t="inlineStr">
        <is>
          <t>revisar_recepcion_y_promedio</t>
        </is>
      </c>
      <c r="K35" s="17" t="inlineStr">
        <is>
          <t>123</t>
        </is>
      </c>
      <c r="L35" s="23" t="n">
        <v>46266</v>
      </c>
      <c r="M35" s="7" t="inlineStr">
        <is>
          <t>Bodega Central</t>
        </is>
      </c>
      <c r="N35" s="20" t="n">
        <v>1500</v>
      </c>
      <c r="O35" s="17" t="inlineStr">
        <is>
          <t>Sin precio</t>
        </is>
      </c>
      <c r="P35" s="20" t="n">
        <v>1400</v>
      </c>
      <c r="Q35" s="7" t="n">
        <v>40024</v>
      </c>
      <c r="R35" s="17" t="inlineStr">
        <is>
          <t>040024</t>
        </is>
      </c>
      <c r="S35" s="7" t="n">
        <v>6.58</v>
      </c>
      <c r="T35" s="7" t="inlineStr">
        <is>
          <t>divergencia_gt_15_alerta</t>
        </is>
      </c>
      <c r="U35" s="7" t="inlineStr">
        <is>
          <t>alta</t>
        </is>
      </c>
      <c r="V35" s="7" t="inlineStr">
        <is>
          <t>baja</t>
        </is>
      </c>
      <c r="W35" s="7" t="inlineStr">
        <is>
          <t>Factura</t>
        </is>
      </c>
      <c r="X35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6">
      <c r="A36" s="7" t="inlineStr">
        <is>
          <t>CERVEZA</t>
        </is>
      </c>
      <c r="B36" s="7" t="inlineStr">
        <is>
          <t>Producto 40025 — Variante 40025</t>
        </is>
      </c>
      <c r="C36" s="17" t="inlineStr">
        <is>
          <t>7800000040025</t>
        </is>
      </c>
      <c r="D36" s="26" t="inlineStr">
        <is>
          <t>P3 · MEDIO</t>
        </is>
      </c>
      <c r="E36" s="19" t="n">
        <v>10</v>
      </c>
      <c r="F36" s="20" t="n">
        <v>100</v>
      </c>
      <c r="G36" s="20" t="n">
        <v>120.5</v>
      </c>
      <c r="H36" s="27" t="n">
        <v>0.205</v>
      </c>
      <c r="I36" s="22">
        <f>IF(OR(E36="",F36="",G36=""),"",ABS(G36-F36)*E36)</f>
        <v/>
      </c>
      <c r="J36" s="7" t="inlineStr">
        <is>
          <t>revisar_recepcion_y_promedio</t>
        </is>
      </c>
      <c r="K36" s="17" t="inlineStr">
        <is>
          <t>123</t>
        </is>
      </c>
      <c r="L36" s="23" t="n">
        <v>46266</v>
      </c>
      <c r="M36" s="7" t="inlineStr">
        <is>
          <t>Bodega Central</t>
        </is>
      </c>
      <c r="N36" s="20" t="n">
        <v>1500</v>
      </c>
      <c r="O36" s="17" t="inlineStr">
        <is>
          <t>Sin precio</t>
        </is>
      </c>
      <c r="P36" s="20" t="n">
        <v>1400</v>
      </c>
      <c r="Q36" s="7" t="n">
        <v>40025</v>
      </c>
      <c r="R36" s="17" t="inlineStr">
        <is>
          <t>040025</t>
        </is>
      </c>
      <c r="S36" s="7" t="n">
        <v>6.58</v>
      </c>
      <c r="T36" s="7" t="inlineStr">
        <is>
          <t>divergencia_gt_15_alerta</t>
        </is>
      </c>
      <c r="U36" s="7" t="inlineStr">
        <is>
          <t>alta</t>
        </is>
      </c>
      <c r="V36" s="7" t="inlineStr">
        <is>
          <t>baja</t>
        </is>
      </c>
      <c r="W36" s="7" t="inlineStr">
        <is>
          <t>Factura</t>
        </is>
      </c>
      <c r="X36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7">
      <c r="A37" s="7" t="inlineStr">
        <is>
          <t>CERVEZA</t>
        </is>
      </c>
      <c r="B37" s="7" t="inlineStr">
        <is>
          <t>Producto 40026 — Variante 40026</t>
        </is>
      </c>
      <c r="C37" s="17" t="inlineStr">
        <is>
          <t>7800000040026</t>
        </is>
      </c>
      <c r="D37" s="26" t="inlineStr">
        <is>
          <t>P3 · MEDIO</t>
        </is>
      </c>
      <c r="E37" s="19" t="n">
        <v>10</v>
      </c>
      <c r="F37" s="20" t="n">
        <v>100</v>
      </c>
      <c r="G37" s="20" t="n">
        <v>120.5</v>
      </c>
      <c r="H37" s="27" t="n">
        <v>0.205</v>
      </c>
      <c r="I37" s="22">
        <f>IF(OR(E37="",F37="",G37=""),"",ABS(G37-F37)*E37)</f>
        <v/>
      </c>
      <c r="J37" s="7" t="inlineStr">
        <is>
          <t>revisar_recepcion_y_promedio</t>
        </is>
      </c>
      <c r="K37" s="17" t="inlineStr">
        <is>
          <t>123</t>
        </is>
      </c>
      <c r="L37" s="23" t="n">
        <v>46266</v>
      </c>
      <c r="M37" s="7" t="inlineStr">
        <is>
          <t>Bodega Central</t>
        </is>
      </c>
      <c r="N37" s="20" t="n">
        <v>1500</v>
      </c>
      <c r="O37" s="17" t="inlineStr">
        <is>
          <t>Sin precio</t>
        </is>
      </c>
      <c r="P37" s="20" t="n">
        <v>1400</v>
      </c>
      <c r="Q37" s="7" t="n">
        <v>40026</v>
      </c>
      <c r="R37" s="17" t="inlineStr">
        <is>
          <t>040026</t>
        </is>
      </c>
      <c r="S37" s="7" t="n">
        <v>6.58</v>
      </c>
      <c r="T37" s="7" t="inlineStr">
        <is>
          <t>divergencia_gt_15_alerta</t>
        </is>
      </c>
      <c r="U37" s="7" t="inlineStr">
        <is>
          <t>alta</t>
        </is>
      </c>
      <c r="V37" s="7" t="inlineStr">
        <is>
          <t>baja</t>
        </is>
      </c>
      <c r="W37" s="7" t="inlineStr">
        <is>
          <t>Factura</t>
        </is>
      </c>
      <c r="X37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8">
      <c r="A38" s="7" t="inlineStr">
        <is>
          <t>CERVEZA</t>
        </is>
      </c>
      <c r="B38" s="7" t="inlineStr">
        <is>
          <t>Producto 40027 — Variante 40027</t>
        </is>
      </c>
      <c r="C38" s="17" t="inlineStr">
        <is>
          <t>7800000040027</t>
        </is>
      </c>
      <c r="D38" s="26" t="inlineStr">
        <is>
          <t>P3 · MEDIO</t>
        </is>
      </c>
      <c r="E38" s="19" t="n">
        <v>10</v>
      </c>
      <c r="F38" s="20" t="n">
        <v>100</v>
      </c>
      <c r="G38" s="20" t="n">
        <v>120.5</v>
      </c>
      <c r="H38" s="27" t="n">
        <v>0.205</v>
      </c>
      <c r="I38" s="22">
        <f>IF(OR(E38="",F38="",G38=""),"",ABS(G38-F38)*E38)</f>
        <v/>
      </c>
      <c r="J38" s="7" t="inlineStr">
        <is>
          <t>revisar_recepcion_y_promedio</t>
        </is>
      </c>
      <c r="K38" s="17" t="inlineStr">
        <is>
          <t>123</t>
        </is>
      </c>
      <c r="L38" s="23" t="n">
        <v>46266</v>
      </c>
      <c r="M38" s="7" t="inlineStr">
        <is>
          <t>Bodega Central</t>
        </is>
      </c>
      <c r="N38" s="20" t="n">
        <v>1500</v>
      </c>
      <c r="O38" s="17" t="inlineStr">
        <is>
          <t>Sin precio</t>
        </is>
      </c>
      <c r="P38" s="20" t="n">
        <v>1400</v>
      </c>
      <c r="Q38" s="7" t="n">
        <v>40027</v>
      </c>
      <c r="R38" s="17" t="inlineStr">
        <is>
          <t>040027</t>
        </is>
      </c>
      <c r="S38" s="7" t="n">
        <v>6.58</v>
      </c>
      <c r="T38" s="7" t="inlineStr">
        <is>
          <t>divergencia_gt_15_alerta</t>
        </is>
      </c>
      <c r="U38" s="7" t="inlineStr">
        <is>
          <t>alta</t>
        </is>
      </c>
      <c r="V38" s="7" t="inlineStr">
        <is>
          <t>baja</t>
        </is>
      </c>
      <c r="W38" s="7" t="inlineStr">
        <is>
          <t>Factura</t>
        </is>
      </c>
      <c r="X38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39">
      <c r="A39" s="7" t="inlineStr">
        <is>
          <t>CERVEZA</t>
        </is>
      </c>
      <c r="B39" s="7" t="inlineStr">
        <is>
          <t>Producto 40028 — Variante 40028</t>
        </is>
      </c>
      <c r="C39" s="17" t="inlineStr">
        <is>
          <t>7800000040028</t>
        </is>
      </c>
      <c r="D39" s="26" t="inlineStr">
        <is>
          <t>P3 · MEDIO</t>
        </is>
      </c>
      <c r="E39" s="19" t="n">
        <v>10</v>
      </c>
      <c r="F39" s="20" t="n">
        <v>100</v>
      </c>
      <c r="G39" s="20" t="n">
        <v>120.5</v>
      </c>
      <c r="H39" s="27" t="n">
        <v>0.205</v>
      </c>
      <c r="I39" s="22">
        <f>IF(OR(E39="",F39="",G39=""),"",ABS(G39-F39)*E39)</f>
        <v/>
      </c>
      <c r="J39" s="7" t="inlineStr">
        <is>
          <t>revisar_recepcion_y_promedio</t>
        </is>
      </c>
      <c r="K39" s="17" t="inlineStr">
        <is>
          <t>123</t>
        </is>
      </c>
      <c r="L39" s="23" t="n">
        <v>46266</v>
      </c>
      <c r="M39" s="7" t="inlineStr">
        <is>
          <t>Bodega Central</t>
        </is>
      </c>
      <c r="N39" s="20" t="n">
        <v>1500</v>
      </c>
      <c r="O39" s="17" t="inlineStr">
        <is>
          <t>Sin precio</t>
        </is>
      </c>
      <c r="P39" s="20" t="n">
        <v>1400</v>
      </c>
      <c r="Q39" s="7" t="n">
        <v>40028</v>
      </c>
      <c r="R39" s="17" t="inlineStr">
        <is>
          <t>040028</t>
        </is>
      </c>
      <c r="S39" s="7" t="n">
        <v>6.58</v>
      </c>
      <c r="T39" s="7" t="inlineStr">
        <is>
          <t>divergencia_gt_15_alerta</t>
        </is>
      </c>
      <c r="U39" s="7" t="inlineStr">
        <is>
          <t>alta</t>
        </is>
      </c>
      <c r="V39" s="7" t="inlineStr">
        <is>
          <t>baja</t>
        </is>
      </c>
      <c r="W39" s="7" t="inlineStr">
        <is>
          <t>Factura</t>
        </is>
      </c>
      <c r="X39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40">
      <c r="A40" s="7" t="inlineStr">
        <is>
          <t>CERVEZA</t>
        </is>
      </c>
      <c r="B40" s="7" t="inlineStr">
        <is>
          <t>Producto 40029 — Variante 40029</t>
        </is>
      </c>
      <c r="C40" s="17" t="inlineStr">
        <is>
          <t>7800000040029</t>
        </is>
      </c>
      <c r="D40" s="26" t="inlineStr">
        <is>
          <t>P3 · MEDIO</t>
        </is>
      </c>
      <c r="E40" s="19" t="n">
        <v>10</v>
      </c>
      <c r="F40" s="20" t="n">
        <v>100</v>
      </c>
      <c r="G40" s="20" t="n">
        <v>120.5</v>
      </c>
      <c r="H40" s="27" t="n">
        <v>0.205</v>
      </c>
      <c r="I40" s="22">
        <f>IF(OR(E40="",F40="",G40=""),"",ABS(G40-F40)*E40)</f>
        <v/>
      </c>
      <c r="J40" s="7" t="inlineStr">
        <is>
          <t>revisar_recepcion_y_promedio</t>
        </is>
      </c>
      <c r="K40" s="17" t="inlineStr">
        <is>
          <t>123</t>
        </is>
      </c>
      <c r="L40" s="23" t="n">
        <v>46266</v>
      </c>
      <c r="M40" s="7" t="inlineStr">
        <is>
          <t>Bodega Central</t>
        </is>
      </c>
      <c r="N40" s="20" t="n">
        <v>1500</v>
      </c>
      <c r="O40" s="17" t="inlineStr">
        <is>
          <t>Sin precio</t>
        </is>
      </c>
      <c r="P40" s="20" t="n">
        <v>1400</v>
      </c>
      <c r="Q40" s="7" t="n">
        <v>40029</v>
      </c>
      <c r="R40" s="17" t="inlineStr">
        <is>
          <t>040029</t>
        </is>
      </c>
      <c r="S40" s="7" t="n">
        <v>6.58</v>
      </c>
      <c r="T40" s="7" t="inlineStr">
        <is>
          <t>divergencia_gt_15_alerta</t>
        </is>
      </c>
      <c r="U40" s="7" t="inlineStr">
        <is>
          <t>alta</t>
        </is>
      </c>
      <c r="V40" s="7" t="inlineStr">
        <is>
          <t>baja</t>
        </is>
      </c>
      <c r="W40" s="7" t="inlineStr">
        <is>
          <t>Factura</t>
        </is>
      </c>
      <c r="X40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41">
      <c r="A41" s="7" t="inlineStr">
        <is>
          <t>CERVEZA</t>
        </is>
      </c>
      <c r="B41" s="7" t="inlineStr">
        <is>
          <t>Producto 40030 — Variante 40030</t>
        </is>
      </c>
      <c r="C41" s="17" t="inlineStr">
        <is>
          <t>7800000040030</t>
        </is>
      </c>
      <c r="D41" s="26" t="inlineStr">
        <is>
          <t>P3 · MEDIO</t>
        </is>
      </c>
      <c r="E41" s="19" t="n">
        <v>10</v>
      </c>
      <c r="F41" s="20" t="n">
        <v>100</v>
      </c>
      <c r="G41" s="20" t="n">
        <v>120.5</v>
      </c>
      <c r="H41" s="27" t="n">
        <v>0.205</v>
      </c>
      <c r="I41" s="22">
        <f>IF(OR(E41="",F41="",G41=""),"",ABS(G41-F41)*E41)</f>
        <v/>
      </c>
      <c r="J41" s="7" t="inlineStr">
        <is>
          <t>revisar_recepcion_y_promedio</t>
        </is>
      </c>
      <c r="K41" s="17" t="inlineStr">
        <is>
          <t>123</t>
        </is>
      </c>
      <c r="L41" s="23" t="n">
        <v>46266</v>
      </c>
      <c r="M41" s="7" t="inlineStr">
        <is>
          <t>Bodega Central</t>
        </is>
      </c>
      <c r="N41" s="20" t="n">
        <v>1500</v>
      </c>
      <c r="O41" s="17" t="inlineStr">
        <is>
          <t>Sin precio</t>
        </is>
      </c>
      <c r="P41" s="20" t="n">
        <v>1400</v>
      </c>
      <c r="Q41" s="7" t="n">
        <v>40030</v>
      </c>
      <c r="R41" s="17" t="inlineStr">
        <is>
          <t>040030</t>
        </is>
      </c>
      <c r="S41" s="7" t="n">
        <v>6.58</v>
      </c>
      <c r="T41" s="7" t="inlineStr">
        <is>
          <t>divergencia_gt_15_alerta</t>
        </is>
      </c>
      <c r="U41" s="7" t="inlineStr">
        <is>
          <t>alta</t>
        </is>
      </c>
      <c r="V41" s="7" t="inlineStr">
        <is>
          <t>baja</t>
        </is>
      </c>
      <c r="W41" s="7" t="inlineStr">
        <is>
          <t>Factura</t>
        </is>
      </c>
      <c r="X41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42">
      <c r="A42" s="7" t="inlineStr">
        <is>
          <t>CERVEZA</t>
        </is>
      </c>
      <c r="B42" s="7" t="inlineStr">
        <is>
          <t>Producto 40031 — Variante 40031</t>
        </is>
      </c>
      <c r="C42" s="17" t="inlineStr">
        <is>
          <t>7800000040031</t>
        </is>
      </c>
      <c r="D42" s="26" t="inlineStr">
        <is>
          <t>P3 · MEDIO</t>
        </is>
      </c>
      <c r="E42" s="19" t="n">
        <v>10</v>
      </c>
      <c r="F42" s="20" t="n">
        <v>100</v>
      </c>
      <c r="G42" s="20" t="n">
        <v>120.5</v>
      </c>
      <c r="H42" s="27" t="n">
        <v>0.205</v>
      </c>
      <c r="I42" s="22">
        <f>IF(OR(E42="",F42="",G42=""),"",ABS(G42-F42)*E42)</f>
        <v/>
      </c>
      <c r="J42" s="7" t="inlineStr">
        <is>
          <t>revisar_recepcion_y_promedio</t>
        </is>
      </c>
      <c r="K42" s="17" t="inlineStr">
        <is>
          <t>123</t>
        </is>
      </c>
      <c r="L42" s="23" t="n">
        <v>46266</v>
      </c>
      <c r="M42" s="7" t="inlineStr">
        <is>
          <t>Bodega Central</t>
        </is>
      </c>
      <c r="N42" s="20" t="n">
        <v>1500</v>
      </c>
      <c r="O42" s="17" t="inlineStr">
        <is>
          <t>Sin precio</t>
        </is>
      </c>
      <c r="P42" s="20" t="n">
        <v>1400</v>
      </c>
      <c r="Q42" s="7" t="n">
        <v>40031</v>
      </c>
      <c r="R42" s="17" t="inlineStr">
        <is>
          <t>040031</t>
        </is>
      </c>
      <c r="S42" s="7" t="n">
        <v>6.58</v>
      </c>
      <c r="T42" s="7" t="inlineStr">
        <is>
          <t>divergencia_gt_15_alerta</t>
        </is>
      </c>
      <c r="U42" s="7" t="inlineStr">
        <is>
          <t>alta</t>
        </is>
      </c>
      <c r="V42" s="7" t="inlineStr">
        <is>
          <t>baja</t>
        </is>
      </c>
      <c r="W42" s="7" t="inlineStr">
        <is>
          <t>Factura</t>
        </is>
      </c>
      <c r="X42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43">
      <c r="A43" s="7" t="inlineStr">
        <is>
          <t>CERVEZA</t>
        </is>
      </c>
      <c r="B43" s="7" t="inlineStr">
        <is>
          <t>Producto 40032 — Variante 40032</t>
        </is>
      </c>
      <c r="C43" s="17" t="inlineStr">
        <is>
          <t>7800000040032</t>
        </is>
      </c>
      <c r="D43" s="26" t="inlineStr">
        <is>
          <t>P3 · MEDIO</t>
        </is>
      </c>
      <c r="E43" s="19" t="n">
        <v>10</v>
      </c>
      <c r="F43" s="20" t="n">
        <v>100</v>
      </c>
      <c r="G43" s="20" t="n">
        <v>120.5</v>
      </c>
      <c r="H43" s="27" t="n">
        <v>0.205</v>
      </c>
      <c r="I43" s="22">
        <f>IF(OR(E43="",F43="",G43=""),"",ABS(G43-F43)*E43)</f>
        <v/>
      </c>
      <c r="J43" s="7" t="inlineStr">
        <is>
          <t>revisar_recepcion_y_promedio</t>
        </is>
      </c>
      <c r="K43" s="17" t="inlineStr">
        <is>
          <t>123</t>
        </is>
      </c>
      <c r="L43" s="23" t="n">
        <v>46266</v>
      </c>
      <c r="M43" s="7" t="inlineStr">
        <is>
          <t>Bodega Central</t>
        </is>
      </c>
      <c r="N43" s="20" t="n">
        <v>1500</v>
      </c>
      <c r="O43" s="17" t="inlineStr">
        <is>
          <t>Sin precio</t>
        </is>
      </c>
      <c r="P43" s="20" t="n">
        <v>1400</v>
      </c>
      <c r="Q43" s="7" t="n">
        <v>40032</v>
      </c>
      <c r="R43" s="17" t="inlineStr">
        <is>
          <t>040032</t>
        </is>
      </c>
      <c r="S43" s="7" t="n">
        <v>6.58</v>
      </c>
      <c r="T43" s="7" t="inlineStr">
        <is>
          <t>divergencia_gt_15_alerta</t>
        </is>
      </c>
      <c r="U43" s="7" t="inlineStr">
        <is>
          <t>alta</t>
        </is>
      </c>
      <c r="V43" s="7" t="inlineStr">
        <is>
          <t>baja</t>
        </is>
      </c>
      <c r="W43" s="7" t="inlineStr">
        <is>
          <t>Factura</t>
        </is>
      </c>
      <c r="X43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44">
      <c r="A44" s="7" t="inlineStr">
        <is>
          <t>CERVEZA</t>
        </is>
      </c>
      <c r="B44" s="7" t="inlineStr">
        <is>
          <t>Producto 40033 — Variante 40033</t>
        </is>
      </c>
      <c r="C44" s="17" t="inlineStr">
        <is>
          <t>7800000040033</t>
        </is>
      </c>
      <c r="D44" s="26" t="inlineStr">
        <is>
          <t>P3 · MEDIO</t>
        </is>
      </c>
      <c r="E44" s="19" t="n">
        <v>10</v>
      </c>
      <c r="F44" s="20" t="n">
        <v>100</v>
      </c>
      <c r="G44" s="20" t="n">
        <v>120.5</v>
      </c>
      <c r="H44" s="27" t="n">
        <v>0.205</v>
      </c>
      <c r="I44" s="22">
        <f>IF(OR(E44="",F44="",G44=""),"",ABS(G44-F44)*E44)</f>
        <v/>
      </c>
      <c r="J44" s="7" t="inlineStr">
        <is>
          <t>revisar_recepcion_y_promedio</t>
        </is>
      </c>
      <c r="K44" s="17" t="inlineStr">
        <is>
          <t>123</t>
        </is>
      </c>
      <c r="L44" s="23" t="n">
        <v>46266</v>
      </c>
      <c r="M44" s="7" t="inlineStr">
        <is>
          <t>Bodega Central</t>
        </is>
      </c>
      <c r="N44" s="20" t="n">
        <v>1500</v>
      </c>
      <c r="O44" s="17" t="inlineStr">
        <is>
          <t>Sin precio</t>
        </is>
      </c>
      <c r="P44" s="20" t="n">
        <v>1400</v>
      </c>
      <c r="Q44" s="7" t="n">
        <v>40033</v>
      </c>
      <c r="R44" s="17" t="inlineStr">
        <is>
          <t>040033</t>
        </is>
      </c>
      <c r="S44" s="7" t="n">
        <v>6.58</v>
      </c>
      <c r="T44" s="7" t="inlineStr">
        <is>
          <t>divergencia_gt_15_alerta</t>
        </is>
      </c>
      <c r="U44" s="7" t="inlineStr">
        <is>
          <t>alta</t>
        </is>
      </c>
      <c r="V44" s="7" t="inlineStr">
        <is>
          <t>baja</t>
        </is>
      </c>
      <c r="W44" s="7" t="inlineStr">
        <is>
          <t>Factura</t>
        </is>
      </c>
      <c r="X44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  <row r="45">
      <c r="A45" s="7" t="inlineStr">
        <is>
          <t>CERVEZA</t>
        </is>
      </c>
      <c r="B45" s="7" t="inlineStr">
        <is>
          <t>Producto 40034 — Variante 40034</t>
        </is>
      </c>
      <c r="C45" s="17" t="inlineStr">
        <is>
          <t>7800000040034</t>
        </is>
      </c>
      <c r="D45" s="26" t="inlineStr">
        <is>
          <t>P3 · MEDIO</t>
        </is>
      </c>
      <c r="E45" s="19" t="n">
        <v>10</v>
      </c>
      <c r="F45" s="20" t="n">
        <v>100</v>
      </c>
      <c r="G45" s="20" t="n">
        <v>120.5</v>
      </c>
      <c r="H45" s="27" t="n">
        <v>0.205</v>
      </c>
      <c r="I45" s="22">
        <f>IF(OR(E45="",F45="",G45=""),"",ABS(G45-F45)*E45)</f>
        <v/>
      </c>
      <c r="J45" s="7" t="inlineStr">
        <is>
          <t>revisar_recepcion_y_promedio</t>
        </is>
      </c>
      <c r="K45" s="17" t="inlineStr">
        <is>
          <t>123</t>
        </is>
      </c>
      <c r="L45" s="23" t="n">
        <v>46266</v>
      </c>
      <c r="M45" s="7" t="inlineStr">
        <is>
          <t>Bodega Central</t>
        </is>
      </c>
      <c r="N45" s="20" t="n">
        <v>1500</v>
      </c>
      <c r="O45" s="17" t="inlineStr">
        <is>
          <t>Sin precio</t>
        </is>
      </c>
      <c r="P45" s="20" t="n">
        <v>1400</v>
      </c>
      <c r="Q45" s="7" t="n">
        <v>40034</v>
      </c>
      <c r="R45" s="17" t="inlineStr">
        <is>
          <t>040034</t>
        </is>
      </c>
      <c r="S45" s="7" t="n">
        <v>6.58</v>
      </c>
      <c r="T45" s="7" t="inlineStr">
        <is>
          <t>divergencia_gt_15_alerta</t>
        </is>
      </c>
      <c r="U45" s="7" t="inlineStr">
        <is>
          <t>alta</t>
        </is>
      </c>
      <c r="V45" s="7" t="inlineStr">
        <is>
          <t>baja</t>
        </is>
      </c>
      <c r="W45" s="7" t="inlineStr">
        <is>
          <t>Factura</t>
        </is>
      </c>
      <c r="X45" s="7" t="inlineStr">
        <is>
          <t>Exposición potencial orientativa: no es pérdida financiera ni valorización contable definitiva. No usar como valorización mientras la unidad/presentación de la recepción no esté suficientemente comprobada.</t>
        </is>
      </c>
    </row>
  </sheetData>
  <autoFilter ref="A5:X45"/>
  <mergeCells count="3">
    <mergeCell ref="A3:X3"/>
    <mergeCell ref="A2:X2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11" customWidth="1" min="3" max="3"/>
    <col width="16" customWidth="1" min="4" max="4"/>
    <col width="16" customWidth="1" min="5" max="5"/>
    <col width="12" customWidth="1" min="6" max="6"/>
    <col width="18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32" customWidth="1" min="14" max="14"/>
    <col width="18" customWidth="1" min="15" max="15"/>
    <col width="13" customWidth="1" min="16" max="16"/>
    <col width="18" customWidth="1" min="17" max="17"/>
    <col width="16" customWidth="1" min="18" max="18"/>
    <col width="16" customWidth="1" min="19" max="19"/>
    <col width="16" customWidth="1" min="20" max="20"/>
  </cols>
  <sheetData>
    <row r="1" ht="28" customHeight="1">
      <c r="A1" s="14" t="inlineStr">
        <is>
          <t>ACTIVOS CON COSTO CERO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3" t="inlineStr">
        <is>
          <t>Alcance operativo CON STOCK. 3 registros en este corte.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28" t="inlineStr">
        <is>
          <t>Costo promedio = 0 explícito. Stock vacío = sin fila (dato ausente ≠ cero). «Sin precio» es presentación; no entra en cálculos.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</row>
    <row r="5">
      <c r="A5" s="5" t="inlineStr">
        <is>
          <t>Producto</t>
        </is>
      </c>
      <c r="B5" s="5" t="inlineStr">
        <is>
          <t>Variante</t>
        </is>
      </c>
      <c r="C5" s="5" t="inlineStr">
        <is>
          <t>variant_id</t>
        </is>
      </c>
      <c r="D5" s="5" t="inlineStr">
        <is>
          <t>SKU</t>
        </is>
      </c>
      <c r="E5" s="5" t="inlineStr">
        <is>
          <t>Código de barras</t>
        </is>
      </c>
      <c r="F5" s="5" t="inlineStr">
        <is>
          <t>Costo promedio</t>
        </is>
      </c>
      <c r="G5" s="5" t="inlineStr">
        <is>
          <t>Estado stock</t>
        </is>
      </c>
      <c r="H5" s="5" t="inlineStr">
        <is>
          <t>Stock total (vacío=sin fila)</t>
        </is>
      </c>
      <c r="I5" s="5" t="inlineStr">
        <is>
          <t>Stock cero explícito</t>
        </is>
      </c>
      <c r="J5" s="5" t="inlineStr">
        <is>
          <t>Sin fila stock</t>
        </is>
      </c>
      <c r="K5" s="5" t="inlineStr">
        <is>
          <t>Con recepción comparable</t>
        </is>
      </c>
      <c r="L5" s="5" t="inlineStr">
        <is>
          <t>Sin recepción comparable</t>
        </is>
      </c>
      <c r="M5" s="5" t="inlineStr">
        <is>
          <t>Estado comercial</t>
        </is>
      </c>
      <c r="N5" s="5" t="inlineStr">
        <is>
          <t>Acción recomendada</t>
        </is>
      </c>
      <c r="O5" s="5" t="inlineStr">
        <is>
          <t>Documento comparable</t>
        </is>
      </c>
      <c r="P5" s="5" t="inlineStr">
        <is>
          <t>Fecha comparable</t>
        </is>
      </c>
      <c r="Q5" s="5" t="inlineStr">
        <is>
          <t>Oficina</t>
        </is>
      </c>
      <c r="R5" s="5" t="inlineStr">
        <is>
          <t>Precio Supermercado</t>
        </is>
      </c>
      <c r="S5" s="5" t="inlineStr">
        <is>
          <t>Precio Ruta Facturas</t>
        </is>
      </c>
      <c r="T5" s="5" t="inlineStr">
        <is>
          <t>Precio Melinka</t>
        </is>
      </c>
    </row>
    <row r="6">
      <c r="A6" s="7" t="inlineStr">
        <is>
          <t>Cero A</t>
        </is>
      </c>
      <c r="B6" s="7" t="inlineStr">
        <is>
          <t>Sin stock fila</t>
        </is>
      </c>
      <c r="C6" s="7" t="n">
        <v>9001</v>
      </c>
      <c r="D6" s="17" t="inlineStr">
        <is>
          <t>09001</t>
        </is>
      </c>
      <c r="E6" s="17" t="inlineStr">
        <is>
          <t>7809001</t>
        </is>
      </c>
      <c r="F6" s="30" t="n">
        <v>0</v>
      </c>
      <c r="G6" s="31" t="inlineStr">
        <is>
          <t>sin_fila_stock</t>
        </is>
      </c>
      <c r="H6" s="31" t="n"/>
      <c r="I6" s="7" t="inlineStr">
        <is>
          <t>No</t>
        </is>
      </c>
      <c r="J6" s="7" t="inlineStr">
        <is>
          <t>Sí</t>
        </is>
      </c>
      <c r="K6" s="7" t="inlineStr">
        <is>
          <t>No</t>
        </is>
      </c>
      <c r="L6" s="7" t="inlineStr">
        <is>
          <t>Sí</t>
        </is>
      </c>
      <c r="M6" s="7" t="inlineStr">
        <is>
          <t>activo_costo_cero_sin_stock_pos</t>
        </is>
      </c>
      <c r="N6" s="7" t="inlineStr">
        <is>
          <t>verificar_alta_catalogo_y_primera_compra</t>
        </is>
      </c>
      <c r="O6" s="7" t="n"/>
      <c r="P6" s="23" t="n"/>
      <c r="Q6" s="7" t="n"/>
      <c r="R6" s="30" t="n">
        <v>999</v>
      </c>
      <c r="S6" s="17" t="inlineStr">
        <is>
          <t>Sin precio</t>
        </is>
      </c>
      <c r="T6" s="17" t="inlineStr">
        <is>
          <t>Sin precio</t>
        </is>
      </c>
    </row>
    <row r="7">
      <c r="A7" s="10" t="inlineStr">
        <is>
          <t>Cero B</t>
        </is>
      </c>
      <c r="B7" s="10" t="inlineStr">
        <is>
          <t>Stock cero explícito</t>
        </is>
      </c>
      <c r="C7" s="10" t="n">
        <v>9002</v>
      </c>
      <c r="D7" s="32" t="inlineStr">
        <is>
          <t>09002</t>
        </is>
      </c>
      <c r="E7" s="32" t="inlineStr">
        <is>
          <t>7809002</t>
        </is>
      </c>
      <c r="F7" s="33" t="n">
        <v>0</v>
      </c>
      <c r="G7" s="10" t="inlineStr">
        <is>
          <t>stock_cero_explicito</t>
        </is>
      </c>
      <c r="H7" s="10" t="n">
        <v>0</v>
      </c>
      <c r="I7" s="10" t="inlineStr">
        <is>
          <t>Sí</t>
        </is>
      </c>
      <c r="J7" s="10" t="inlineStr">
        <is>
          <t>No</t>
        </is>
      </c>
      <c r="K7" s="10" t="inlineStr">
        <is>
          <t>Sí</t>
        </is>
      </c>
      <c r="L7" s="10" t="inlineStr">
        <is>
          <t>No</t>
        </is>
      </c>
      <c r="M7" s="10" t="inlineStr">
        <is>
          <t>activo_costo_cero_sin_stock_pos</t>
        </is>
      </c>
      <c r="N7" s="10" t="inlineStr">
        <is>
          <t>revisar_por_que_promedio_sigue_en_cero</t>
        </is>
      </c>
      <c r="O7" s="10" t="inlineStr">
        <is>
          <t>Guía</t>
        </is>
      </c>
      <c r="P7" s="34" t="n">
        <v>46032</v>
      </c>
      <c r="Q7" s="10" t="inlineStr">
        <is>
          <t>Supermercado</t>
        </is>
      </c>
      <c r="R7" s="32" t="inlineStr">
        <is>
          <t>Sin precio</t>
        </is>
      </c>
      <c r="S7" s="32" t="inlineStr">
        <is>
          <t>Sin precio</t>
        </is>
      </c>
      <c r="T7" s="32" t="inlineStr">
        <is>
          <t>Sin precio</t>
        </is>
      </c>
    </row>
    <row r="8">
      <c r="A8" s="7" t="inlineStr">
        <is>
          <t>Cero C</t>
        </is>
      </c>
      <c r="B8" s="7" t="inlineStr">
        <is>
          <t>Stock positivo crítico</t>
        </is>
      </c>
      <c r="C8" s="7" t="n">
        <v>9003</v>
      </c>
      <c r="D8" s="17" t="inlineStr">
        <is>
          <t>09003</t>
        </is>
      </c>
      <c r="E8" s="17" t="inlineStr">
        <is>
          <t>7809003</t>
        </is>
      </c>
      <c r="F8" s="30" t="n">
        <v>0</v>
      </c>
      <c r="G8" s="31" t="inlineStr">
        <is>
          <t>stock_positivo</t>
        </is>
      </c>
      <c r="H8" s="31" t="n">
        <v>44</v>
      </c>
      <c r="I8" s="7" t="inlineStr">
        <is>
          <t>No</t>
        </is>
      </c>
      <c r="J8" s="7" t="inlineStr">
        <is>
          <t>No</t>
        </is>
      </c>
      <c r="K8" s="7" t="inlineStr">
        <is>
          <t>No</t>
        </is>
      </c>
      <c r="L8" s="7" t="inlineStr">
        <is>
          <t>Sí</t>
        </is>
      </c>
      <c r="M8" s="7" t="inlineStr">
        <is>
          <t>activo_costo_cero_alerta</t>
        </is>
      </c>
      <c r="N8" s="7" t="inlineStr">
        <is>
          <t>verificar_alta_catalogo_y_primera_compra</t>
        </is>
      </c>
      <c r="O8" s="7" t="n"/>
      <c r="P8" s="23" t="n"/>
      <c r="Q8" s="7" t="n"/>
      <c r="R8" s="30" t="n">
        <v>1500</v>
      </c>
      <c r="S8" s="17" t="inlineStr">
        <is>
          <t>Sin precio</t>
        </is>
      </c>
      <c r="T8" s="17" t="inlineStr">
        <is>
          <t>Sin precio</t>
        </is>
      </c>
    </row>
  </sheetData>
  <autoFilter ref="A5:T8"/>
  <mergeCells count="3">
    <mergeCell ref="A1:T1"/>
    <mergeCell ref="A3:T3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51" customWidth="1" min="2" max="2"/>
    <col width="19" customWidth="1" min="3" max="3"/>
    <col width="11" customWidth="1" min="4" max="4"/>
    <col width="17" customWidth="1" min="5" max="5"/>
    <col width="16" customWidth="1" min="6" max="6"/>
    <col width="13" customWidth="1" min="7" max="7"/>
    <col width="13" customWidth="1" min="8" max="8"/>
    <col width="23" customWidth="1" min="9" max="9"/>
    <col width="14" customWidth="1" min="10" max="10"/>
    <col width="17" customWidth="1" min="11" max="11"/>
    <col width="18" customWidth="1" min="12" max="12"/>
    <col width="20" customWidth="1" min="13" max="13"/>
    <col width="12" customWidth="1" min="14" max="14"/>
    <col width="16" customWidth="1" min="15" max="15"/>
    <col width="13" customWidth="1" min="16" max="16"/>
    <col width="16" customWidth="1" min="17" max="17"/>
    <col width="14" customWidth="1" min="18" max="18"/>
    <col width="14" customWidth="1" min="19" max="19"/>
    <col width="18" customWidth="1" min="20" max="20"/>
  </cols>
  <sheetData>
    <row r="1" ht="28" customHeight="1">
      <c r="A1" s="14" t="inlineStr">
        <is>
          <t>COSTO PROMEDIO VS RECEPCIONES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3" t="inlineStr">
        <is>
          <t>42 variantes en el alcance  ·  diferencia contra promedio Bsale, no entre facturas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15" t="inlineStr">
        <is>
          <t>TODAS LAS VARIANTES DEL ALCANCE  ·  Usa los filtros de «BANDA» y «COMPARABILIDAD». Sucursales con nombre administrativo (nunca ID).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</row>
    <row r="5">
      <c r="A5" s="5" t="inlineStr">
        <is>
          <t>TIPO</t>
        </is>
      </c>
      <c r="B5" s="5" t="inlineStr">
        <is>
          <t>PRODUCTO + VARIANTE</t>
        </is>
      </c>
      <c r="C5" s="5" t="inlineStr">
        <is>
          <t>BARCODE</t>
        </is>
      </c>
      <c r="D5" s="5" t="inlineStr">
        <is>
          <t>STOCK</t>
        </is>
      </c>
      <c r="E5" s="5" t="inlineStr">
        <is>
          <t>COSTO PROM.</t>
        </is>
      </c>
      <c r="F5" s="5" t="inlineStr">
        <is>
          <t>ÚLT. COMP.</t>
        </is>
      </c>
      <c r="G5" s="5" t="inlineStr">
        <is>
          <t>Δ MONTO</t>
        </is>
      </c>
      <c r="H5" s="5" t="inlineStr">
        <is>
          <t>Δ VS PROM.</t>
        </is>
      </c>
      <c r="I5" s="5" t="inlineStr">
        <is>
          <t>BANDA</t>
        </is>
      </c>
      <c r="J5" s="5" t="inlineStr">
        <is>
          <t>FECHA</t>
        </is>
      </c>
      <c r="K5" s="5" t="inlineStr">
        <is>
          <t>N° FACTURA</t>
        </is>
      </c>
      <c r="L5" s="5" t="inlineStr">
        <is>
          <t>OFICINA</t>
        </is>
      </c>
      <c r="M5" s="5" t="inlineStr">
        <is>
          <t>COMPARABILIDAD</t>
        </is>
      </c>
      <c r="N5" s="5" t="inlineStr">
        <is>
          <t>EXTREMA</t>
        </is>
      </c>
      <c r="O5" s="5" t="inlineStr">
        <is>
          <t>PRIORIDAD</t>
        </is>
      </c>
      <c r="P5" s="5" t="inlineStr">
        <is>
          <t>ID VARIANTE</t>
        </is>
      </c>
      <c r="Q5" s="5" t="inlineStr">
        <is>
          <t>SKU</t>
        </is>
      </c>
      <c r="R5" s="5" t="inlineStr">
        <is>
          <t>TIPO DOC.</t>
        </is>
      </c>
      <c r="S5" s="5" t="inlineStr">
        <is>
          <t>CONF. ERROR</t>
        </is>
      </c>
      <c r="T5" s="5" t="inlineStr">
        <is>
          <t>EVIDENCIA SUFICIENTE</t>
        </is>
      </c>
    </row>
    <row r="6">
      <c r="A6" s="7" t="inlineStr">
        <is>
          <t>CERVEZA</t>
        </is>
      </c>
      <c r="B6" s="7" t="inlineStr">
        <is>
          <t>Producto 10894 — Variante 10894</t>
        </is>
      </c>
      <c r="C6" s="17" t="inlineStr">
        <is>
          <t>7800000010894</t>
        </is>
      </c>
      <c r="D6" s="19" t="n">
        <v>1964</v>
      </c>
      <c r="E6" s="20" t="n">
        <v>100</v>
      </c>
      <c r="F6" s="20" t="n">
        <v>135.77</v>
      </c>
      <c r="G6" s="20" t="n">
        <v>35.77</v>
      </c>
      <c r="H6" s="35" t="n">
        <v>0.3577</v>
      </c>
      <c r="I6" s="7" t="inlineStr">
        <is>
          <t>entre_15_y_50</t>
        </is>
      </c>
      <c r="J6" s="23" t="n">
        <v>46266</v>
      </c>
      <c r="K6" s="17" t="inlineStr">
        <is>
          <t>123</t>
        </is>
      </c>
      <c r="L6" s="7" t="inlineStr">
        <is>
          <t>Bodega Central</t>
        </is>
      </c>
      <c r="M6" s="7" t="inlineStr">
        <is>
          <t>comparable</t>
        </is>
      </c>
      <c r="N6" s="7" t="inlineStr">
        <is>
          <t>No</t>
        </is>
      </c>
      <c r="O6" s="18" t="inlineStr">
        <is>
          <t>P1 · CRÍTICO</t>
        </is>
      </c>
      <c r="P6" s="7" t="n">
        <v>10894</v>
      </c>
      <c r="Q6" s="17" t="inlineStr">
        <is>
          <t>010894</t>
        </is>
      </c>
      <c r="R6" s="7" t="inlineStr">
        <is>
          <t>Factura</t>
        </is>
      </c>
      <c r="S6" s="7" t="inlineStr">
        <is>
          <t>baja</t>
        </is>
      </c>
      <c r="T6" s="7" t="inlineStr">
        <is>
          <t>Sí</t>
        </is>
      </c>
    </row>
    <row r="7">
      <c r="A7" s="10" t="inlineStr">
        <is>
          <t>CERVEZA</t>
        </is>
      </c>
      <c r="B7" s="10" t="inlineStr">
        <is>
          <t>Producto 27785 — Variante 27785</t>
        </is>
      </c>
      <c r="C7" s="32" t="inlineStr">
        <is>
          <t>7800000027785</t>
        </is>
      </c>
      <c r="D7" s="36" t="n">
        <v>679</v>
      </c>
      <c r="E7" s="37" t="n">
        <v>100</v>
      </c>
      <c r="F7" s="37" t="n">
        <v>135.17</v>
      </c>
      <c r="G7" s="37" t="n">
        <v>35.17</v>
      </c>
      <c r="H7" s="38" t="n">
        <v>0.3517</v>
      </c>
      <c r="I7" s="10" t="inlineStr">
        <is>
          <t>entre_15_y_50</t>
        </is>
      </c>
      <c r="J7" s="34" t="n">
        <v>46266</v>
      </c>
      <c r="K7" s="32" t="inlineStr">
        <is>
          <t>123</t>
        </is>
      </c>
      <c r="L7" s="10" t="inlineStr">
        <is>
          <t>Bodega Central</t>
        </is>
      </c>
      <c r="M7" s="10" t="inlineStr">
        <is>
          <t>comparable</t>
        </is>
      </c>
      <c r="N7" s="10" t="inlineStr">
        <is>
          <t>No</t>
        </is>
      </c>
      <c r="O7" s="24" t="inlineStr">
        <is>
          <t>P2 · ALTO</t>
        </is>
      </c>
      <c r="P7" s="10" t="n">
        <v>27785</v>
      </c>
      <c r="Q7" s="32" t="inlineStr">
        <is>
          <t>027785</t>
        </is>
      </c>
      <c r="R7" s="10" t="inlineStr">
        <is>
          <t>Factura</t>
        </is>
      </c>
      <c r="S7" s="10" t="inlineStr">
        <is>
          <t>baja</t>
        </is>
      </c>
      <c r="T7" s="10" t="inlineStr">
        <is>
          <t>Sí</t>
        </is>
      </c>
    </row>
    <row r="8">
      <c r="A8" s="7" t="inlineStr">
        <is>
          <t>CERVEZA</t>
        </is>
      </c>
      <c r="B8" s="7" t="inlineStr">
        <is>
          <t>Producto 30735 — Variante 30735</t>
        </is>
      </c>
      <c r="C8" s="17" t="inlineStr">
        <is>
          <t>7800000030735</t>
        </is>
      </c>
      <c r="D8" s="19" t="n">
        <v>5</v>
      </c>
      <c r="E8" s="20" t="n">
        <v>100</v>
      </c>
      <c r="F8" s="20" t="n">
        <v>500</v>
      </c>
      <c r="G8" s="20" t="n">
        <v>400</v>
      </c>
      <c r="H8" s="35" t="n">
        <v>4</v>
      </c>
      <c r="I8" s="7" t="inlineStr">
        <is>
          <t>sobre_50</t>
        </is>
      </c>
      <c r="J8" s="23" t="n">
        <v>46266</v>
      </c>
      <c r="K8" s="17" t="inlineStr">
        <is>
          <t>123</t>
        </is>
      </c>
      <c r="L8" s="7" t="inlineStr">
        <is>
          <t>Bodega Central</t>
        </is>
      </c>
      <c r="M8" s="7" t="inlineStr">
        <is>
          <t>comparable</t>
        </is>
      </c>
      <c r="N8" s="7" t="inlineStr">
        <is>
          <t>Sí</t>
        </is>
      </c>
      <c r="O8" s="18" t="inlineStr">
        <is>
          <t>P1 · CRÍTICO</t>
        </is>
      </c>
      <c r="P8" s="7" t="n">
        <v>30735</v>
      </c>
      <c r="Q8" s="17" t="inlineStr">
        <is>
          <t>030735</t>
        </is>
      </c>
      <c r="R8" s="7" t="inlineStr">
        <is>
          <t>Factura</t>
        </is>
      </c>
      <c r="S8" s="7" t="inlineStr">
        <is>
          <t>baja</t>
        </is>
      </c>
      <c r="T8" s="7" t="inlineStr">
        <is>
          <t>Sí</t>
        </is>
      </c>
    </row>
    <row r="9">
      <c r="A9" s="10" t="inlineStr">
        <is>
          <t>CERVEZA</t>
        </is>
      </c>
      <c r="B9" s="10" t="inlineStr">
        <is>
          <t>Producto 24486 — Variante 24486</t>
        </is>
      </c>
      <c r="C9" s="32" t="inlineStr">
        <is>
          <t>7800000024486</t>
        </is>
      </c>
      <c r="D9" s="36" t="n">
        <v>29</v>
      </c>
      <c r="E9" s="37" t="n">
        <v>100</v>
      </c>
      <c r="F9" s="37" t="n">
        <v>4.76</v>
      </c>
      <c r="G9" s="37" t="n">
        <v>-95.23999999999999</v>
      </c>
      <c r="H9" s="38" t="n">
        <v>-0.9523999999999999</v>
      </c>
      <c r="I9" s="10" t="inlineStr">
        <is>
          <t>sobre_50</t>
        </is>
      </c>
      <c r="J9" s="34" t="n">
        <v>46266</v>
      </c>
      <c r="K9" s="32" t="inlineStr">
        <is>
          <t>123</t>
        </is>
      </c>
      <c r="L9" s="10" t="inlineStr">
        <is>
          <t>Bodega Central</t>
        </is>
      </c>
      <c r="M9" s="10" t="inlineStr">
        <is>
          <t>comparable</t>
        </is>
      </c>
      <c r="N9" s="10" t="inlineStr">
        <is>
          <t>Sí</t>
        </is>
      </c>
      <c r="O9" s="24" t="inlineStr">
        <is>
          <t>P2 · ALTO</t>
        </is>
      </c>
      <c r="P9" s="10" t="n">
        <v>24486</v>
      </c>
      <c r="Q9" s="32" t="inlineStr">
        <is>
          <t>024486</t>
        </is>
      </c>
      <c r="R9" s="10" t="inlineStr">
        <is>
          <t>Factura</t>
        </is>
      </c>
      <c r="S9" s="10" t="inlineStr">
        <is>
          <t>baja</t>
        </is>
      </c>
      <c r="T9" s="10" t="inlineStr">
        <is>
          <t>Sí</t>
        </is>
      </c>
    </row>
    <row r="10">
      <c r="A10" s="7" t="inlineStr">
        <is>
          <t>CERVEZA</t>
        </is>
      </c>
      <c r="B10" s="7" t="inlineStr">
        <is>
          <t>Producto 29507 — Variante 29507</t>
        </is>
      </c>
      <c r="C10" s="17" t="inlineStr">
        <is>
          <t>7800000029507</t>
        </is>
      </c>
      <c r="D10" s="19" t="n">
        <v>14</v>
      </c>
      <c r="E10" s="20" t="n">
        <v>100</v>
      </c>
      <c r="F10" s="20" t="n">
        <v>160.28</v>
      </c>
      <c r="G10" s="20" t="n">
        <v>60.28</v>
      </c>
      <c r="H10" s="35" t="n">
        <v>0.6028</v>
      </c>
      <c r="I10" s="7" t="inlineStr">
        <is>
          <t>sobre_50</t>
        </is>
      </c>
      <c r="J10" s="23" t="n">
        <v>46266</v>
      </c>
      <c r="K10" s="17" t="inlineStr">
        <is>
          <t>123</t>
        </is>
      </c>
      <c r="L10" s="7" t="inlineStr">
        <is>
          <t>Bodega Central</t>
        </is>
      </c>
      <c r="M10" s="7" t="inlineStr">
        <is>
          <t>comparable</t>
        </is>
      </c>
      <c r="N10" s="7" t="inlineStr">
        <is>
          <t>No</t>
        </is>
      </c>
      <c r="O10" s="24" t="inlineStr">
        <is>
          <t>P2 · ALTO</t>
        </is>
      </c>
      <c r="P10" s="7" t="n">
        <v>29507</v>
      </c>
      <c r="Q10" s="17" t="inlineStr">
        <is>
          <t>029507</t>
        </is>
      </c>
      <c r="R10" s="7" t="inlineStr">
        <is>
          <t>Factura</t>
        </is>
      </c>
      <c r="S10" s="7" t="inlineStr">
        <is>
          <t>baja</t>
        </is>
      </c>
      <c r="T10" s="7" t="inlineStr">
        <is>
          <t>Sí</t>
        </is>
      </c>
    </row>
    <row r="11">
      <c r="A11" s="10" t="inlineStr">
        <is>
          <t>CERVEZA</t>
        </is>
      </c>
      <c r="B11" s="10" t="inlineStr">
        <is>
          <t>Producto 40000 — Variante 40000</t>
        </is>
      </c>
      <c r="C11" s="32" t="inlineStr">
        <is>
          <t>7800000040000</t>
        </is>
      </c>
      <c r="D11" s="36" t="n">
        <v>10</v>
      </c>
      <c r="E11" s="37" t="n">
        <v>100</v>
      </c>
      <c r="F11" s="37" t="n">
        <v>120.5</v>
      </c>
      <c r="G11" s="37" t="n">
        <v>20.5</v>
      </c>
      <c r="H11" s="38" t="n">
        <v>0.205</v>
      </c>
      <c r="I11" s="10" t="inlineStr">
        <is>
          <t>entre_15_y_50</t>
        </is>
      </c>
      <c r="J11" s="34" t="n">
        <v>46266</v>
      </c>
      <c r="K11" s="32" t="inlineStr">
        <is>
          <t>123</t>
        </is>
      </c>
      <c r="L11" s="10" t="inlineStr">
        <is>
          <t>Bodega Central</t>
        </is>
      </c>
      <c r="M11" s="10" t="inlineStr">
        <is>
          <t>comparable</t>
        </is>
      </c>
      <c r="N11" s="10" t="inlineStr">
        <is>
          <t>No</t>
        </is>
      </c>
      <c r="O11" s="26" t="inlineStr">
        <is>
          <t>P3 · MEDIO</t>
        </is>
      </c>
      <c r="P11" s="10" t="n">
        <v>40000</v>
      </c>
      <c r="Q11" s="32" t="inlineStr">
        <is>
          <t>040000</t>
        </is>
      </c>
      <c r="R11" s="10" t="inlineStr">
        <is>
          <t>Factura</t>
        </is>
      </c>
      <c r="S11" s="10" t="inlineStr">
        <is>
          <t>baja</t>
        </is>
      </c>
      <c r="T11" s="10" t="inlineStr">
        <is>
          <t>Sí</t>
        </is>
      </c>
    </row>
    <row r="12">
      <c r="A12" s="7" t="inlineStr">
        <is>
          <t>CERVEZA</t>
        </is>
      </c>
      <c r="B12" s="7" t="inlineStr">
        <is>
          <t>Producto 40001 — Variante 40001</t>
        </is>
      </c>
      <c r="C12" s="17" t="inlineStr">
        <is>
          <t>7800000040001</t>
        </is>
      </c>
      <c r="D12" s="19" t="n">
        <v>10</v>
      </c>
      <c r="E12" s="20" t="n">
        <v>100</v>
      </c>
      <c r="F12" s="20" t="n">
        <v>120.5</v>
      </c>
      <c r="G12" s="20" t="n">
        <v>20.5</v>
      </c>
      <c r="H12" s="35" t="n">
        <v>0.205</v>
      </c>
      <c r="I12" s="7" t="inlineStr">
        <is>
          <t>entre_15_y_50</t>
        </is>
      </c>
      <c r="J12" s="23" t="n">
        <v>46266</v>
      </c>
      <c r="K12" s="17" t="inlineStr">
        <is>
          <t>123</t>
        </is>
      </c>
      <c r="L12" s="7" t="inlineStr">
        <is>
          <t>Bodega Central</t>
        </is>
      </c>
      <c r="M12" s="7" t="inlineStr">
        <is>
          <t>comparable</t>
        </is>
      </c>
      <c r="N12" s="7" t="inlineStr">
        <is>
          <t>No</t>
        </is>
      </c>
      <c r="O12" s="26" t="inlineStr">
        <is>
          <t>P3 · MEDIO</t>
        </is>
      </c>
      <c r="P12" s="7" t="n">
        <v>40001</v>
      </c>
      <c r="Q12" s="17" t="inlineStr">
        <is>
          <t>040001</t>
        </is>
      </c>
      <c r="R12" s="7" t="inlineStr">
        <is>
          <t>Factura</t>
        </is>
      </c>
      <c r="S12" s="7" t="inlineStr">
        <is>
          <t>baja</t>
        </is>
      </c>
      <c r="T12" s="7" t="inlineStr">
        <is>
          <t>Sí</t>
        </is>
      </c>
    </row>
    <row r="13">
      <c r="A13" s="10" t="inlineStr">
        <is>
          <t>CERVEZA</t>
        </is>
      </c>
      <c r="B13" s="10" t="inlineStr">
        <is>
          <t>Producto 40002 — Variante 40002</t>
        </is>
      </c>
      <c r="C13" s="32" t="inlineStr">
        <is>
          <t>7800000040002</t>
        </is>
      </c>
      <c r="D13" s="36" t="n">
        <v>10</v>
      </c>
      <c r="E13" s="37" t="n">
        <v>100</v>
      </c>
      <c r="F13" s="37" t="n">
        <v>120.5</v>
      </c>
      <c r="G13" s="37" t="n">
        <v>20.5</v>
      </c>
      <c r="H13" s="38" t="n">
        <v>0.205</v>
      </c>
      <c r="I13" s="10" t="inlineStr">
        <is>
          <t>entre_15_y_50</t>
        </is>
      </c>
      <c r="J13" s="34" t="n">
        <v>46266</v>
      </c>
      <c r="K13" s="32" t="inlineStr">
        <is>
          <t>123</t>
        </is>
      </c>
      <c r="L13" s="10" t="inlineStr">
        <is>
          <t>Bodega Central</t>
        </is>
      </c>
      <c r="M13" s="10" t="inlineStr">
        <is>
          <t>comparable</t>
        </is>
      </c>
      <c r="N13" s="10" t="inlineStr">
        <is>
          <t>No</t>
        </is>
      </c>
      <c r="O13" s="26" t="inlineStr">
        <is>
          <t>P3 · MEDIO</t>
        </is>
      </c>
      <c r="P13" s="10" t="n">
        <v>40002</v>
      </c>
      <c r="Q13" s="32" t="inlineStr">
        <is>
          <t>040002</t>
        </is>
      </c>
      <c r="R13" s="10" t="inlineStr">
        <is>
          <t>Factura</t>
        </is>
      </c>
      <c r="S13" s="10" t="inlineStr">
        <is>
          <t>baja</t>
        </is>
      </c>
      <c r="T13" s="10" t="inlineStr">
        <is>
          <t>Sí</t>
        </is>
      </c>
    </row>
    <row r="14">
      <c r="A14" s="7" t="inlineStr">
        <is>
          <t>CERVEZA</t>
        </is>
      </c>
      <c r="B14" s="7" t="inlineStr">
        <is>
          <t>Producto 40003 — Variante 40003</t>
        </is>
      </c>
      <c r="C14" s="17" t="inlineStr">
        <is>
          <t>7800000040003</t>
        </is>
      </c>
      <c r="D14" s="19" t="n">
        <v>10</v>
      </c>
      <c r="E14" s="20" t="n">
        <v>100</v>
      </c>
      <c r="F14" s="20" t="n">
        <v>120.5</v>
      </c>
      <c r="G14" s="20" t="n">
        <v>20.5</v>
      </c>
      <c r="H14" s="35" t="n">
        <v>0.205</v>
      </c>
      <c r="I14" s="7" t="inlineStr">
        <is>
          <t>entre_15_y_50</t>
        </is>
      </c>
      <c r="J14" s="23" t="n">
        <v>46266</v>
      </c>
      <c r="K14" s="17" t="inlineStr">
        <is>
          <t>123</t>
        </is>
      </c>
      <c r="L14" s="7" t="inlineStr">
        <is>
          <t>Bodega Central</t>
        </is>
      </c>
      <c r="M14" s="7" t="inlineStr">
        <is>
          <t>comparable</t>
        </is>
      </c>
      <c r="N14" s="7" t="inlineStr">
        <is>
          <t>No</t>
        </is>
      </c>
      <c r="O14" s="26" t="inlineStr">
        <is>
          <t>P3 · MEDIO</t>
        </is>
      </c>
      <c r="P14" s="7" t="n">
        <v>40003</v>
      </c>
      <c r="Q14" s="17" t="inlineStr">
        <is>
          <t>040003</t>
        </is>
      </c>
      <c r="R14" s="7" t="inlineStr">
        <is>
          <t>Factura</t>
        </is>
      </c>
      <c r="S14" s="7" t="inlineStr">
        <is>
          <t>baja</t>
        </is>
      </c>
      <c r="T14" s="7" t="inlineStr">
        <is>
          <t>Sí</t>
        </is>
      </c>
    </row>
    <row r="15">
      <c r="A15" s="10" t="inlineStr">
        <is>
          <t>CERVEZA</t>
        </is>
      </c>
      <c r="B15" s="10" t="inlineStr">
        <is>
          <t>Producto 40004 — Variante 40004</t>
        </is>
      </c>
      <c r="C15" s="32" t="inlineStr">
        <is>
          <t>7800000040004</t>
        </is>
      </c>
      <c r="D15" s="36" t="n">
        <v>10</v>
      </c>
      <c r="E15" s="37" t="n">
        <v>100</v>
      </c>
      <c r="F15" s="37" t="n">
        <v>120.5</v>
      </c>
      <c r="G15" s="37" t="n">
        <v>20.5</v>
      </c>
      <c r="H15" s="38" t="n">
        <v>0.205</v>
      </c>
      <c r="I15" s="10" t="inlineStr">
        <is>
          <t>entre_15_y_50</t>
        </is>
      </c>
      <c r="J15" s="34" t="n">
        <v>46266</v>
      </c>
      <c r="K15" s="32" t="inlineStr">
        <is>
          <t>123</t>
        </is>
      </c>
      <c r="L15" s="10" t="inlineStr">
        <is>
          <t>Bodega Central</t>
        </is>
      </c>
      <c r="M15" s="10" t="inlineStr">
        <is>
          <t>comparable</t>
        </is>
      </c>
      <c r="N15" s="10" t="inlineStr">
        <is>
          <t>No</t>
        </is>
      </c>
      <c r="O15" s="26" t="inlineStr">
        <is>
          <t>P3 · MEDIO</t>
        </is>
      </c>
      <c r="P15" s="10" t="n">
        <v>40004</v>
      </c>
      <c r="Q15" s="32" t="inlineStr">
        <is>
          <t>040004</t>
        </is>
      </c>
      <c r="R15" s="10" t="inlineStr">
        <is>
          <t>Factura</t>
        </is>
      </c>
      <c r="S15" s="10" t="inlineStr">
        <is>
          <t>baja</t>
        </is>
      </c>
      <c r="T15" s="10" t="inlineStr">
        <is>
          <t>Sí</t>
        </is>
      </c>
    </row>
    <row r="16">
      <c r="A16" s="7" t="inlineStr">
        <is>
          <t>CERVEZA</t>
        </is>
      </c>
      <c r="B16" s="7" t="inlineStr">
        <is>
          <t>Producto 40005 — Variante 40005</t>
        </is>
      </c>
      <c r="C16" s="17" t="inlineStr">
        <is>
          <t>7800000040005</t>
        </is>
      </c>
      <c r="D16" s="19" t="n">
        <v>10</v>
      </c>
      <c r="E16" s="20" t="n">
        <v>100</v>
      </c>
      <c r="F16" s="20" t="n">
        <v>120.5</v>
      </c>
      <c r="G16" s="20" t="n">
        <v>20.5</v>
      </c>
      <c r="H16" s="35" t="n">
        <v>0.205</v>
      </c>
      <c r="I16" s="7" t="inlineStr">
        <is>
          <t>entre_15_y_50</t>
        </is>
      </c>
      <c r="J16" s="23" t="n">
        <v>46266</v>
      </c>
      <c r="K16" s="17" t="inlineStr">
        <is>
          <t>123</t>
        </is>
      </c>
      <c r="L16" s="7" t="inlineStr">
        <is>
          <t>Bodega Central</t>
        </is>
      </c>
      <c r="M16" s="7" t="inlineStr">
        <is>
          <t>comparable</t>
        </is>
      </c>
      <c r="N16" s="7" t="inlineStr">
        <is>
          <t>No</t>
        </is>
      </c>
      <c r="O16" s="26" t="inlineStr">
        <is>
          <t>P3 · MEDIO</t>
        </is>
      </c>
      <c r="P16" s="7" t="n">
        <v>40005</v>
      </c>
      <c r="Q16" s="17" t="inlineStr">
        <is>
          <t>040005</t>
        </is>
      </c>
      <c r="R16" s="7" t="inlineStr">
        <is>
          <t>Factura</t>
        </is>
      </c>
      <c r="S16" s="7" t="inlineStr">
        <is>
          <t>baja</t>
        </is>
      </c>
      <c r="T16" s="7" t="inlineStr">
        <is>
          <t>Sí</t>
        </is>
      </c>
    </row>
    <row r="17">
      <c r="A17" s="10" t="inlineStr">
        <is>
          <t>CERVEZA</t>
        </is>
      </c>
      <c r="B17" s="10" t="inlineStr">
        <is>
          <t>Producto 40006 — Variante 40006</t>
        </is>
      </c>
      <c r="C17" s="32" t="inlineStr">
        <is>
          <t>7800000040006</t>
        </is>
      </c>
      <c r="D17" s="36" t="n">
        <v>10</v>
      </c>
      <c r="E17" s="37" t="n">
        <v>100</v>
      </c>
      <c r="F17" s="37" t="n">
        <v>120.5</v>
      </c>
      <c r="G17" s="37" t="n">
        <v>20.5</v>
      </c>
      <c r="H17" s="38" t="n">
        <v>0.205</v>
      </c>
      <c r="I17" s="10" t="inlineStr">
        <is>
          <t>entre_15_y_50</t>
        </is>
      </c>
      <c r="J17" s="34" t="n">
        <v>46266</v>
      </c>
      <c r="K17" s="32" t="inlineStr">
        <is>
          <t>123</t>
        </is>
      </c>
      <c r="L17" s="10" t="inlineStr">
        <is>
          <t>Bodega Central</t>
        </is>
      </c>
      <c r="M17" s="10" t="inlineStr">
        <is>
          <t>comparable</t>
        </is>
      </c>
      <c r="N17" s="10" t="inlineStr">
        <is>
          <t>No</t>
        </is>
      </c>
      <c r="O17" s="26" t="inlineStr">
        <is>
          <t>P3 · MEDIO</t>
        </is>
      </c>
      <c r="P17" s="10" t="n">
        <v>40006</v>
      </c>
      <c r="Q17" s="32" t="inlineStr">
        <is>
          <t>040006</t>
        </is>
      </c>
      <c r="R17" s="10" t="inlineStr">
        <is>
          <t>Factura</t>
        </is>
      </c>
      <c r="S17" s="10" t="inlineStr">
        <is>
          <t>baja</t>
        </is>
      </c>
      <c r="T17" s="10" t="inlineStr">
        <is>
          <t>Sí</t>
        </is>
      </c>
    </row>
    <row r="18">
      <c r="A18" s="7" t="inlineStr">
        <is>
          <t>CERVEZA</t>
        </is>
      </c>
      <c r="B18" s="7" t="inlineStr">
        <is>
          <t>Producto 40007 — Variante 40007</t>
        </is>
      </c>
      <c r="C18" s="17" t="inlineStr">
        <is>
          <t>7800000040007</t>
        </is>
      </c>
      <c r="D18" s="19" t="n">
        <v>10</v>
      </c>
      <c r="E18" s="20" t="n">
        <v>100</v>
      </c>
      <c r="F18" s="20" t="n">
        <v>120.5</v>
      </c>
      <c r="G18" s="20" t="n">
        <v>20.5</v>
      </c>
      <c r="H18" s="35" t="n">
        <v>0.205</v>
      </c>
      <c r="I18" s="7" t="inlineStr">
        <is>
          <t>entre_15_y_50</t>
        </is>
      </c>
      <c r="J18" s="23" t="n">
        <v>46266</v>
      </c>
      <c r="K18" s="17" t="inlineStr">
        <is>
          <t>123</t>
        </is>
      </c>
      <c r="L18" s="7" t="inlineStr">
        <is>
          <t>Bodega Central</t>
        </is>
      </c>
      <c r="M18" s="7" t="inlineStr">
        <is>
          <t>comparable</t>
        </is>
      </c>
      <c r="N18" s="7" t="inlineStr">
        <is>
          <t>No</t>
        </is>
      </c>
      <c r="O18" s="26" t="inlineStr">
        <is>
          <t>P3 · MEDIO</t>
        </is>
      </c>
      <c r="P18" s="7" t="n">
        <v>40007</v>
      </c>
      <c r="Q18" s="17" t="inlineStr">
        <is>
          <t>040007</t>
        </is>
      </c>
      <c r="R18" s="7" t="inlineStr">
        <is>
          <t>Factura</t>
        </is>
      </c>
      <c r="S18" s="7" t="inlineStr">
        <is>
          <t>baja</t>
        </is>
      </c>
      <c r="T18" s="7" t="inlineStr">
        <is>
          <t>Sí</t>
        </is>
      </c>
    </row>
    <row r="19">
      <c r="A19" s="10" t="inlineStr">
        <is>
          <t>CERVEZA</t>
        </is>
      </c>
      <c r="B19" s="10" t="inlineStr">
        <is>
          <t>Producto 40008 — Variante 40008</t>
        </is>
      </c>
      <c r="C19" s="32" t="inlineStr">
        <is>
          <t>7800000040008</t>
        </is>
      </c>
      <c r="D19" s="36" t="n">
        <v>10</v>
      </c>
      <c r="E19" s="37" t="n">
        <v>100</v>
      </c>
      <c r="F19" s="37" t="n">
        <v>120.5</v>
      </c>
      <c r="G19" s="37" t="n">
        <v>20.5</v>
      </c>
      <c r="H19" s="38" t="n">
        <v>0.205</v>
      </c>
      <c r="I19" s="10" t="inlineStr">
        <is>
          <t>entre_15_y_50</t>
        </is>
      </c>
      <c r="J19" s="34" t="n">
        <v>46266</v>
      </c>
      <c r="K19" s="32" t="inlineStr">
        <is>
          <t>123</t>
        </is>
      </c>
      <c r="L19" s="10" t="inlineStr">
        <is>
          <t>Bodega Central</t>
        </is>
      </c>
      <c r="M19" s="10" t="inlineStr">
        <is>
          <t>comparable</t>
        </is>
      </c>
      <c r="N19" s="10" t="inlineStr">
        <is>
          <t>No</t>
        </is>
      </c>
      <c r="O19" s="26" t="inlineStr">
        <is>
          <t>P3 · MEDIO</t>
        </is>
      </c>
      <c r="P19" s="10" t="n">
        <v>40008</v>
      </c>
      <c r="Q19" s="32" t="inlineStr">
        <is>
          <t>040008</t>
        </is>
      </c>
      <c r="R19" s="10" t="inlineStr">
        <is>
          <t>Factura</t>
        </is>
      </c>
      <c r="S19" s="10" t="inlineStr">
        <is>
          <t>baja</t>
        </is>
      </c>
      <c r="T19" s="10" t="inlineStr">
        <is>
          <t>Sí</t>
        </is>
      </c>
    </row>
    <row r="20">
      <c r="A20" s="7" t="inlineStr">
        <is>
          <t>CERVEZA</t>
        </is>
      </c>
      <c r="B20" s="7" t="inlineStr">
        <is>
          <t>Producto 40009 — Variante 40009</t>
        </is>
      </c>
      <c r="C20" s="17" t="inlineStr">
        <is>
          <t>7800000040009</t>
        </is>
      </c>
      <c r="D20" s="19" t="n">
        <v>10</v>
      </c>
      <c r="E20" s="20" t="n">
        <v>100</v>
      </c>
      <c r="F20" s="20" t="n">
        <v>120.5</v>
      </c>
      <c r="G20" s="20" t="n">
        <v>20.5</v>
      </c>
      <c r="H20" s="35" t="n">
        <v>0.205</v>
      </c>
      <c r="I20" s="7" t="inlineStr">
        <is>
          <t>entre_15_y_50</t>
        </is>
      </c>
      <c r="J20" s="23" t="n">
        <v>46266</v>
      </c>
      <c r="K20" s="17" t="inlineStr">
        <is>
          <t>123</t>
        </is>
      </c>
      <c r="L20" s="7" t="inlineStr">
        <is>
          <t>Bodega Central</t>
        </is>
      </c>
      <c r="M20" s="7" t="inlineStr">
        <is>
          <t>comparable</t>
        </is>
      </c>
      <c r="N20" s="7" t="inlineStr">
        <is>
          <t>No</t>
        </is>
      </c>
      <c r="O20" s="26" t="inlineStr">
        <is>
          <t>P3 · MEDIO</t>
        </is>
      </c>
      <c r="P20" s="7" t="n">
        <v>40009</v>
      </c>
      <c r="Q20" s="17" t="inlineStr">
        <is>
          <t>040009</t>
        </is>
      </c>
      <c r="R20" s="7" t="inlineStr">
        <is>
          <t>Factura</t>
        </is>
      </c>
      <c r="S20" s="7" t="inlineStr">
        <is>
          <t>baja</t>
        </is>
      </c>
      <c r="T20" s="7" t="inlineStr">
        <is>
          <t>Sí</t>
        </is>
      </c>
    </row>
    <row r="21">
      <c r="A21" s="10" t="inlineStr">
        <is>
          <t>CERVEZA</t>
        </is>
      </c>
      <c r="B21" s="10" t="inlineStr">
        <is>
          <t>Producto 40010 — Variante 40010</t>
        </is>
      </c>
      <c r="C21" s="32" t="inlineStr">
        <is>
          <t>7800000040010</t>
        </is>
      </c>
      <c r="D21" s="36" t="n">
        <v>10</v>
      </c>
      <c r="E21" s="37" t="n">
        <v>100</v>
      </c>
      <c r="F21" s="37" t="n">
        <v>120.5</v>
      </c>
      <c r="G21" s="37" t="n">
        <v>20.5</v>
      </c>
      <c r="H21" s="38" t="n">
        <v>0.205</v>
      </c>
      <c r="I21" s="10" t="inlineStr">
        <is>
          <t>entre_15_y_50</t>
        </is>
      </c>
      <c r="J21" s="34" t="n">
        <v>46266</v>
      </c>
      <c r="K21" s="32" t="inlineStr">
        <is>
          <t>123</t>
        </is>
      </c>
      <c r="L21" s="10" t="inlineStr">
        <is>
          <t>Bodega Central</t>
        </is>
      </c>
      <c r="M21" s="10" t="inlineStr">
        <is>
          <t>comparable</t>
        </is>
      </c>
      <c r="N21" s="10" t="inlineStr">
        <is>
          <t>No</t>
        </is>
      </c>
      <c r="O21" s="26" t="inlineStr">
        <is>
          <t>P3 · MEDIO</t>
        </is>
      </c>
      <c r="P21" s="10" t="n">
        <v>40010</v>
      </c>
      <c r="Q21" s="32" t="inlineStr">
        <is>
          <t>040010</t>
        </is>
      </c>
      <c r="R21" s="10" t="inlineStr">
        <is>
          <t>Factura</t>
        </is>
      </c>
      <c r="S21" s="10" t="inlineStr">
        <is>
          <t>baja</t>
        </is>
      </c>
      <c r="T21" s="10" t="inlineStr">
        <is>
          <t>Sí</t>
        </is>
      </c>
    </row>
    <row r="22">
      <c r="A22" s="7" t="inlineStr">
        <is>
          <t>CERVEZA</t>
        </is>
      </c>
      <c r="B22" s="7" t="inlineStr">
        <is>
          <t>Producto 40011 — Variante 40011</t>
        </is>
      </c>
      <c r="C22" s="17" t="inlineStr">
        <is>
          <t>7800000040011</t>
        </is>
      </c>
      <c r="D22" s="19" t="n">
        <v>10</v>
      </c>
      <c r="E22" s="20" t="n">
        <v>100</v>
      </c>
      <c r="F22" s="20" t="n">
        <v>120.5</v>
      </c>
      <c r="G22" s="20" t="n">
        <v>20.5</v>
      </c>
      <c r="H22" s="35" t="n">
        <v>0.205</v>
      </c>
      <c r="I22" s="7" t="inlineStr">
        <is>
          <t>entre_15_y_50</t>
        </is>
      </c>
      <c r="J22" s="23" t="n">
        <v>46266</v>
      </c>
      <c r="K22" s="17" t="inlineStr">
        <is>
          <t>123</t>
        </is>
      </c>
      <c r="L22" s="7" t="inlineStr">
        <is>
          <t>Bodega Central</t>
        </is>
      </c>
      <c r="M22" s="7" t="inlineStr">
        <is>
          <t>comparable</t>
        </is>
      </c>
      <c r="N22" s="7" t="inlineStr">
        <is>
          <t>No</t>
        </is>
      </c>
      <c r="O22" s="26" t="inlineStr">
        <is>
          <t>P3 · MEDIO</t>
        </is>
      </c>
      <c r="P22" s="7" t="n">
        <v>40011</v>
      </c>
      <c r="Q22" s="17" t="inlineStr">
        <is>
          <t>040011</t>
        </is>
      </c>
      <c r="R22" s="7" t="inlineStr">
        <is>
          <t>Factura</t>
        </is>
      </c>
      <c r="S22" s="7" t="inlineStr">
        <is>
          <t>baja</t>
        </is>
      </c>
      <c r="T22" s="7" t="inlineStr">
        <is>
          <t>Sí</t>
        </is>
      </c>
    </row>
    <row r="23">
      <c r="A23" s="10" t="inlineStr">
        <is>
          <t>CERVEZA</t>
        </is>
      </c>
      <c r="B23" s="10" t="inlineStr">
        <is>
          <t>Producto 40012 — Variante 40012</t>
        </is>
      </c>
      <c r="C23" s="32" t="inlineStr">
        <is>
          <t>7800000040012</t>
        </is>
      </c>
      <c r="D23" s="36" t="n">
        <v>10</v>
      </c>
      <c r="E23" s="37" t="n">
        <v>100</v>
      </c>
      <c r="F23" s="37" t="n">
        <v>120.5</v>
      </c>
      <c r="G23" s="37" t="n">
        <v>20.5</v>
      </c>
      <c r="H23" s="38" t="n">
        <v>0.205</v>
      </c>
      <c r="I23" s="10" t="inlineStr">
        <is>
          <t>entre_15_y_50</t>
        </is>
      </c>
      <c r="J23" s="34" t="n">
        <v>46266</v>
      </c>
      <c r="K23" s="32" t="inlineStr">
        <is>
          <t>123</t>
        </is>
      </c>
      <c r="L23" s="10" t="inlineStr">
        <is>
          <t>Bodega Central</t>
        </is>
      </c>
      <c r="M23" s="10" t="inlineStr">
        <is>
          <t>comparable</t>
        </is>
      </c>
      <c r="N23" s="10" t="inlineStr">
        <is>
          <t>No</t>
        </is>
      </c>
      <c r="O23" s="26" t="inlineStr">
        <is>
          <t>P3 · MEDIO</t>
        </is>
      </c>
      <c r="P23" s="10" t="n">
        <v>40012</v>
      </c>
      <c r="Q23" s="32" t="inlineStr">
        <is>
          <t>040012</t>
        </is>
      </c>
      <c r="R23" s="10" t="inlineStr">
        <is>
          <t>Factura</t>
        </is>
      </c>
      <c r="S23" s="10" t="inlineStr">
        <is>
          <t>baja</t>
        </is>
      </c>
      <c r="T23" s="10" t="inlineStr">
        <is>
          <t>Sí</t>
        </is>
      </c>
    </row>
    <row r="24">
      <c r="A24" s="7" t="inlineStr">
        <is>
          <t>CERVEZA</t>
        </is>
      </c>
      <c r="B24" s="7" t="inlineStr">
        <is>
          <t>Producto 40013 — Variante 40013</t>
        </is>
      </c>
      <c r="C24" s="17" t="inlineStr">
        <is>
          <t>7800000040013</t>
        </is>
      </c>
      <c r="D24" s="19" t="n">
        <v>10</v>
      </c>
      <c r="E24" s="20" t="n">
        <v>100</v>
      </c>
      <c r="F24" s="20" t="n">
        <v>120.5</v>
      </c>
      <c r="G24" s="20" t="n">
        <v>20.5</v>
      </c>
      <c r="H24" s="35" t="n">
        <v>0.205</v>
      </c>
      <c r="I24" s="7" t="inlineStr">
        <is>
          <t>entre_15_y_50</t>
        </is>
      </c>
      <c r="J24" s="23" t="n">
        <v>46266</v>
      </c>
      <c r="K24" s="17" t="inlineStr">
        <is>
          <t>123</t>
        </is>
      </c>
      <c r="L24" s="7" t="inlineStr">
        <is>
          <t>Bodega Central</t>
        </is>
      </c>
      <c r="M24" s="7" t="inlineStr">
        <is>
          <t>comparable</t>
        </is>
      </c>
      <c r="N24" s="7" t="inlineStr">
        <is>
          <t>No</t>
        </is>
      </c>
      <c r="O24" s="26" t="inlineStr">
        <is>
          <t>P3 · MEDIO</t>
        </is>
      </c>
      <c r="P24" s="7" t="n">
        <v>40013</v>
      </c>
      <c r="Q24" s="17" t="inlineStr">
        <is>
          <t>040013</t>
        </is>
      </c>
      <c r="R24" s="7" t="inlineStr">
        <is>
          <t>Factura</t>
        </is>
      </c>
      <c r="S24" s="7" t="inlineStr">
        <is>
          <t>baja</t>
        </is>
      </c>
      <c r="T24" s="7" t="inlineStr">
        <is>
          <t>Sí</t>
        </is>
      </c>
    </row>
    <row r="25">
      <c r="A25" s="10" t="inlineStr">
        <is>
          <t>CERVEZA</t>
        </is>
      </c>
      <c r="B25" s="10" t="inlineStr">
        <is>
          <t>Producto 40014 — Variante 40014</t>
        </is>
      </c>
      <c r="C25" s="32" t="inlineStr">
        <is>
          <t>7800000040014</t>
        </is>
      </c>
      <c r="D25" s="36" t="n">
        <v>10</v>
      </c>
      <c r="E25" s="37" t="n">
        <v>100</v>
      </c>
      <c r="F25" s="37" t="n">
        <v>120.5</v>
      </c>
      <c r="G25" s="37" t="n">
        <v>20.5</v>
      </c>
      <c r="H25" s="38" t="n">
        <v>0.205</v>
      </c>
      <c r="I25" s="10" t="inlineStr">
        <is>
          <t>entre_15_y_50</t>
        </is>
      </c>
      <c r="J25" s="34" t="n">
        <v>46266</v>
      </c>
      <c r="K25" s="32" t="inlineStr">
        <is>
          <t>123</t>
        </is>
      </c>
      <c r="L25" s="10" t="inlineStr">
        <is>
          <t>Bodega Central</t>
        </is>
      </c>
      <c r="M25" s="10" t="inlineStr">
        <is>
          <t>comparable</t>
        </is>
      </c>
      <c r="N25" s="10" t="inlineStr">
        <is>
          <t>No</t>
        </is>
      </c>
      <c r="O25" s="26" t="inlineStr">
        <is>
          <t>P3 · MEDIO</t>
        </is>
      </c>
      <c r="P25" s="10" t="n">
        <v>40014</v>
      </c>
      <c r="Q25" s="32" t="inlineStr">
        <is>
          <t>040014</t>
        </is>
      </c>
      <c r="R25" s="10" t="inlineStr">
        <is>
          <t>Factura</t>
        </is>
      </c>
      <c r="S25" s="10" t="inlineStr">
        <is>
          <t>baja</t>
        </is>
      </c>
      <c r="T25" s="10" t="inlineStr">
        <is>
          <t>Sí</t>
        </is>
      </c>
    </row>
    <row r="26">
      <c r="A26" s="7" t="inlineStr">
        <is>
          <t>CERVEZA</t>
        </is>
      </c>
      <c r="B26" s="7" t="inlineStr">
        <is>
          <t>Producto 40015 — Variante 40015</t>
        </is>
      </c>
      <c r="C26" s="17" t="inlineStr">
        <is>
          <t>7800000040015</t>
        </is>
      </c>
      <c r="D26" s="19" t="n">
        <v>10</v>
      </c>
      <c r="E26" s="20" t="n">
        <v>100</v>
      </c>
      <c r="F26" s="20" t="n">
        <v>120.5</v>
      </c>
      <c r="G26" s="20" t="n">
        <v>20.5</v>
      </c>
      <c r="H26" s="35" t="n">
        <v>0.205</v>
      </c>
      <c r="I26" s="7" t="inlineStr">
        <is>
          <t>entre_15_y_50</t>
        </is>
      </c>
      <c r="J26" s="23" t="n">
        <v>46266</v>
      </c>
      <c r="K26" s="17" t="inlineStr">
        <is>
          <t>123</t>
        </is>
      </c>
      <c r="L26" s="7" t="inlineStr">
        <is>
          <t>Bodega Central</t>
        </is>
      </c>
      <c r="M26" s="7" t="inlineStr">
        <is>
          <t>comparable</t>
        </is>
      </c>
      <c r="N26" s="7" t="inlineStr">
        <is>
          <t>No</t>
        </is>
      </c>
      <c r="O26" s="26" t="inlineStr">
        <is>
          <t>P3 · MEDIO</t>
        </is>
      </c>
      <c r="P26" s="7" t="n">
        <v>40015</v>
      </c>
      <c r="Q26" s="17" t="inlineStr">
        <is>
          <t>040015</t>
        </is>
      </c>
      <c r="R26" s="7" t="inlineStr">
        <is>
          <t>Factura</t>
        </is>
      </c>
      <c r="S26" s="7" t="inlineStr">
        <is>
          <t>baja</t>
        </is>
      </c>
      <c r="T26" s="7" t="inlineStr">
        <is>
          <t>Sí</t>
        </is>
      </c>
    </row>
    <row r="27">
      <c r="A27" s="10" t="inlineStr">
        <is>
          <t>CERVEZA</t>
        </is>
      </c>
      <c r="B27" s="10" t="inlineStr">
        <is>
          <t>Producto 40016 — Variante 40016</t>
        </is>
      </c>
      <c r="C27" s="32" t="inlineStr">
        <is>
          <t>7800000040016</t>
        </is>
      </c>
      <c r="D27" s="36" t="n">
        <v>10</v>
      </c>
      <c r="E27" s="37" t="n">
        <v>100</v>
      </c>
      <c r="F27" s="37" t="n">
        <v>120.5</v>
      </c>
      <c r="G27" s="37" t="n">
        <v>20.5</v>
      </c>
      <c r="H27" s="38" t="n">
        <v>0.205</v>
      </c>
      <c r="I27" s="10" t="inlineStr">
        <is>
          <t>entre_15_y_50</t>
        </is>
      </c>
      <c r="J27" s="34" t="n">
        <v>46266</v>
      </c>
      <c r="K27" s="32" t="inlineStr">
        <is>
          <t>123</t>
        </is>
      </c>
      <c r="L27" s="10" t="inlineStr">
        <is>
          <t>Bodega Central</t>
        </is>
      </c>
      <c r="M27" s="10" t="inlineStr">
        <is>
          <t>comparable</t>
        </is>
      </c>
      <c r="N27" s="10" t="inlineStr">
        <is>
          <t>No</t>
        </is>
      </c>
      <c r="O27" s="26" t="inlineStr">
        <is>
          <t>P3 · MEDIO</t>
        </is>
      </c>
      <c r="P27" s="10" t="n">
        <v>40016</v>
      </c>
      <c r="Q27" s="32" t="inlineStr">
        <is>
          <t>040016</t>
        </is>
      </c>
      <c r="R27" s="10" t="inlineStr">
        <is>
          <t>Factura</t>
        </is>
      </c>
      <c r="S27" s="10" t="inlineStr">
        <is>
          <t>baja</t>
        </is>
      </c>
      <c r="T27" s="10" t="inlineStr">
        <is>
          <t>Sí</t>
        </is>
      </c>
    </row>
    <row r="28">
      <c r="A28" s="7" t="inlineStr">
        <is>
          <t>CERVEZA</t>
        </is>
      </c>
      <c r="B28" s="7" t="inlineStr">
        <is>
          <t>Producto 40017 — Variante 40017</t>
        </is>
      </c>
      <c r="C28" s="17" t="inlineStr">
        <is>
          <t>7800000040017</t>
        </is>
      </c>
      <c r="D28" s="19" t="n">
        <v>10</v>
      </c>
      <c r="E28" s="20" t="n">
        <v>100</v>
      </c>
      <c r="F28" s="20" t="n">
        <v>120.5</v>
      </c>
      <c r="G28" s="20" t="n">
        <v>20.5</v>
      </c>
      <c r="H28" s="35" t="n">
        <v>0.205</v>
      </c>
      <c r="I28" s="7" t="inlineStr">
        <is>
          <t>entre_15_y_50</t>
        </is>
      </c>
      <c r="J28" s="23" t="n">
        <v>46266</v>
      </c>
      <c r="K28" s="17" t="inlineStr">
        <is>
          <t>123</t>
        </is>
      </c>
      <c r="L28" s="7" t="inlineStr">
        <is>
          <t>Bodega Central</t>
        </is>
      </c>
      <c r="M28" s="7" t="inlineStr">
        <is>
          <t>comparable</t>
        </is>
      </c>
      <c r="N28" s="7" t="inlineStr">
        <is>
          <t>No</t>
        </is>
      </c>
      <c r="O28" s="26" t="inlineStr">
        <is>
          <t>P3 · MEDIO</t>
        </is>
      </c>
      <c r="P28" s="7" t="n">
        <v>40017</v>
      </c>
      <c r="Q28" s="17" t="inlineStr">
        <is>
          <t>040017</t>
        </is>
      </c>
      <c r="R28" s="7" t="inlineStr">
        <is>
          <t>Factura</t>
        </is>
      </c>
      <c r="S28" s="7" t="inlineStr">
        <is>
          <t>baja</t>
        </is>
      </c>
      <c r="T28" s="7" t="inlineStr">
        <is>
          <t>Sí</t>
        </is>
      </c>
    </row>
    <row r="29">
      <c r="A29" s="10" t="inlineStr">
        <is>
          <t>CERVEZA</t>
        </is>
      </c>
      <c r="B29" s="10" t="inlineStr">
        <is>
          <t>Producto 40018 — Variante 40018</t>
        </is>
      </c>
      <c r="C29" s="32" t="inlineStr">
        <is>
          <t>7800000040018</t>
        </is>
      </c>
      <c r="D29" s="36" t="n">
        <v>10</v>
      </c>
      <c r="E29" s="37" t="n">
        <v>100</v>
      </c>
      <c r="F29" s="37" t="n">
        <v>120.5</v>
      </c>
      <c r="G29" s="37" t="n">
        <v>20.5</v>
      </c>
      <c r="H29" s="38" t="n">
        <v>0.205</v>
      </c>
      <c r="I29" s="10" t="inlineStr">
        <is>
          <t>entre_15_y_50</t>
        </is>
      </c>
      <c r="J29" s="34" t="n">
        <v>46266</v>
      </c>
      <c r="K29" s="32" t="inlineStr">
        <is>
          <t>123</t>
        </is>
      </c>
      <c r="L29" s="10" t="inlineStr">
        <is>
          <t>Bodega Central</t>
        </is>
      </c>
      <c r="M29" s="10" t="inlineStr">
        <is>
          <t>comparable</t>
        </is>
      </c>
      <c r="N29" s="10" t="inlineStr">
        <is>
          <t>No</t>
        </is>
      </c>
      <c r="O29" s="26" t="inlineStr">
        <is>
          <t>P3 · MEDIO</t>
        </is>
      </c>
      <c r="P29" s="10" t="n">
        <v>40018</v>
      </c>
      <c r="Q29" s="32" t="inlineStr">
        <is>
          <t>040018</t>
        </is>
      </c>
      <c r="R29" s="10" t="inlineStr">
        <is>
          <t>Factura</t>
        </is>
      </c>
      <c r="S29" s="10" t="inlineStr">
        <is>
          <t>baja</t>
        </is>
      </c>
      <c r="T29" s="10" t="inlineStr">
        <is>
          <t>Sí</t>
        </is>
      </c>
    </row>
    <row r="30">
      <c r="A30" s="7" t="inlineStr">
        <is>
          <t>CERVEZA</t>
        </is>
      </c>
      <c r="B30" s="7" t="inlineStr">
        <is>
          <t>Producto 40019 — Variante 40019</t>
        </is>
      </c>
      <c r="C30" s="17" t="inlineStr">
        <is>
          <t>7800000040019</t>
        </is>
      </c>
      <c r="D30" s="19" t="n">
        <v>10</v>
      </c>
      <c r="E30" s="20" t="n">
        <v>100</v>
      </c>
      <c r="F30" s="20" t="n">
        <v>120.5</v>
      </c>
      <c r="G30" s="20" t="n">
        <v>20.5</v>
      </c>
      <c r="H30" s="35" t="n">
        <v>0.205</v>
      </c>
      <c r="I30" s="7" t="inlineStr">
        <is>
          <t>entre_15_y_50</t>
        </is>
      </c>
      <c r="J30" s="23" t="n">
        <v>46266</v>
      </c>
      <c r="K30" s="17" t="inlineStr">
        <is>
          <t>123</t>
        </is>
      </c>
      <c r="L30" s="7" t="inlineStr">
        <is>
          <t>Bodega Central</t>
        </is>
      </c>
      <c r="M30" s="7" t="inlineStr">
        <is>
          <t>comparable</t>
        </is>
      </c>
      <c r="N30" s="7" t="inlineStr">
        <is>
          <t>No</t>
        </is>
      </c>
      <c r="O30" s="26" t="inlineStr">
        <is>
          <t>P3 · MEDIO</t>
        </is>
      </c>
      <c r="P30" s="7" t="n">
        <v>40019</v>
      </c>
      <c r="Q30" s="17" t="inlineStr">
        <is>
          <t>040019</t>
        </is>
      </c>
      <c r="R30" s="7" t="inlineStr">
        <is>
          <t>Factura</t>
        </is>
      </c>
      <c r="S30" s="7" t="inlineStr">
        <is>
          <t>baja</t>
        </is>
      </c>
      <c r="T30" s="7" t="inlineStr">
        <is>
          <t>Sí</t>
        </is>
      </c>
    </row>
    <row r="31">
      <c r="A31" s="10" t="inlineStr">
        <is>
          <t>CERVEZA</t>
        </is>
      </c>
      <c r="B31" s="10" t="inlineStr">
        <is>
          <t>Producto 40020 — Variante 40020</t>
        </is>
      </c>
      <c r="C31" s="32" t="inlineStr">
        <is>
          <t>7800000040020</t>
        </is>
      </c>
      <c r="D31" s="36" t="n">
        <v>10</v>
      </c>
      <c r="E31" s="37" t="n">
        <v>100</v>
      </c>
      <c r="F31" s="37" t="n">
        <v>120.5</v>
      </c>
      <c r="G31" s="37" t="n">
        <v>20.5</v>
      </c>
      <c r="H31" s="38" t="n">
        <v>0.205</v>
      </c>
      <c r="I31" s="10" t="inlineStr">
        <is>
          <t>entre_15_y_50</t>
        </is>
      </c>
      <c r="J31" s="34" t="n">
        <v>46266</v>
      </c>
      <c r="K31" s="32" t="inlineStr">
        <is>
          <t>123</t>
        </is>
      </c>
      <c r="L31" s="10" t="inlineStr">
        <is>
          <t>Bodega Central</t>
        </is>
      </c>
      <c r="M31" s="10" t="inlineStr">
        <is>
          <t>comparable</t>
        </is>
      </c>
      <c r="N31" s="10" t="inlineStr">
        <is>
          <t>No</t>
        </is>
      </c>
      <c r="O31" s="26" t="inlineStr">
        <is>
          <t>P3 · MEDIO</t>
        </is>
      </c>
      <c r="P31" s="10" t="n">
        <v>40020</v>
      </c>
      <c r="Q31" s="32" t="inlineStr">
        <is>
          <t>040020</t>
        </is>
      </c>
      <c r="R31" s="10" t="inlineStr">
        <is>
          <t>Factura</t>
        </is>
      </c>
      <c r="S31" s="10" t="inlineStr">
        <is>
          <t>baja</t>
        </is>
      </c>
      <c r="T31" s="10" t="inlineStr">
        <is>
          <t>Sí</t>
        </is>
      </c>
    </row>
    <row r="32">
      <c r="A32" s="7" t="inlineStr">
        <is>
          <t>CERVEZA</t>
        </is>
      </c>
      <c r="B32" s="7" t="inlineStr">
        <is>
          <t>Producto 40021 — Variante 40021</t>
        </is>
      </c>
      <c r="C32" s="17" t="inlineStr">
        <is>
          <t>7800000040021</t>
        </is>
      </c>
      <c r="D32" s="19" t="n">
        <v>10</v>
      </c>
      <c r="E32" s="20" t="n">
        <v>100</v>
      </c>
      <c r="F32" s="20" t="n">
        <v>120.5</v>
      </c>
      <c r="G32" s="20" t="n">
        <v>20.5</v>
      </c>
      <c r="H32" s="35" t="n">
        <v>0.205</v>
      </c>
      <c r="I32" s="7" t="inlineStr">
        <is>
          <t>entre_15_y_50</t>
        </is>
      </c>
      <c r="J32" s="23" t="n">
        <v>46266</v>
      </c>
      <c r="K32" s="17" t="inlineStr">
        <is>
          <t>123</t>
        </is>
      </c>
      <c r="L32" s="7" t="inlineStr">
        <is>
          <t>Bodega Central</t>
        </is>
      </c>
      <c r="M32" s="7" t="inlineStr">
        <is>
          <t>comparable</t>
        </is>
      </c>
      <c r="N32" s="7" t="inlineStr">
        <is>
          <t>No</t>
        </is>
      </c>
      <c r="O32" s="26" t="inlineStr">
        <is>
          <t>P3 · MEDIO</t>
        </is>
      </c>
      <c r="P32" s="7" t="n">
        <v>40021</v>
      </c>
      <c r="Q32" s="17" t="inlineStr">
        <is>
          <t>040021</t>
        </is>
      </c>
      <c r="R32" s="7" t="inlineStr">
        <is>
          <t>Factura</t>
        </is>
      </c>
      <c r="S32" s="7" t="inlineStr">
        <is>
          <t>baja</t>
        </is>
      </c>
      <c r="T32" s="7" t="inlineStr">
        <is>
          <t>Sí</t>
        </is>
      </c>
    </row>
    <row r="33">
      <c r="A33" s="10" t="inlineStr">
        <is>
          <t>CERVEZA</t>
        </is>
      </c>
      <c r="B33" s="10" t="inlineStr">
        <is>
          <t>Producto 40022 — Variante 40022</t>
        </is>
      </c>
      <c r="C33" s="32" t="inlineStr">
        <is>
          <t>7800000040022</t>
        </is>
      </c>
      <c r="D33" s="36" t="n">
        <v>10</v>
      </c>
      <c r="E33" s="37" t="n">
        <v>100</v>
      </c>
      <c r="F33" s="37" t="n">
        <v>120.5</v>
      </c>
      <c r="G33" s="37" t="n">
        <v>20.5</v>
      </c>
      <c r="H33" s="38" t="n">
        <v>0.205</v>
      </c>
      <c r="I33" s="10" t="inlineStr">
        <is>
          <t>entre_15_y_50</t>
        </is>
      </c>
      <c r="J33" s="34" t="n">
        <v>46266</v>
      </c>
      <c r="K33" s="32" t="inlineStr">
        <is>
          <t>123</t>
        </is>
      </c>
      <c r="L33" s="10" t="inlineStr">
        <is>
          <t>Bodega Central</t>
        </is>
      </c>
      <c r="M33" s="10" t="inlineStr">
        <is>
          <t>comparable</t>
        </is>
      </c>
      <c r="N33" s="10" t="inlineStr">
        <is>
          <t>No</t>
        </is>
      </c>
      <c r="O33" s="26" t="inlineStr">
        <is>
          <t>P3 · MEDIO</t>
        </is>
      </c>
      <c r="P33" s="10" t="n">
        <v>40022</v>
      </c>
      <c r="Q33" s="32" t="inlineStr">
        <is>
          <t>040022</t>
        </is>
      </c>
      <c r="R33" s="10" t="inlineStr">
        <is>
          <t>Factura</t>
        </is>
      </c>
      <c r="S33" s="10" t="inlineStr">
        <is>
          <t>baja</t>
        </is>
      </c>
      <c r="T33" s="10" t="inlineStr">
        <is>
          <t>Sí</t>
        </is>
      </c>
    </row>
    <row r="34">
      <c r="A34" s="7" t="inlineStr">
        <is>
          <t>CERVEZA</t>
        </is>
      </c>
      <c r="B34" s="7" t="inlineStr">
        <is>
          <t>Producto 40023 — Variante 40023</t>
        </is>
      </c>
      <c r="C34" s="17" t="inlineStr">
        <is>
          <t>7800000040023</t>
        </is>
      </c>
      <c r="D34" s="19" t="n">
        <v>10</v>
      </c>
      <c r="E34" s="20" t="n">
        <v>100</v>
      </c>
      <c r="F34" s="20" t="n">
        <v>120.5</v>
      </c>
      <c r="G34" s="20" t="n">
        <v>20.5</v>
      </c>
      <c r="H34" s="35" t="n">
        <v>0.205</v>
      </c>
      <c r="I34" s="7" t="inlineStr">
        <is>
          <t>entre_15_y_50</t>
        </is>
      </c>
      <c r="J34" s="23" t="n">
        <v>46266</v>
      </c>
      <c r="K34" s="17" t="inlineStr">
        <is>
          <t>123</t>
        </is>
      </c>
      <c r="L34" s="7" t="inlineStr">
        <is>
          <t>Bodega Central</t>
        </is>
      </c>
      <c r="M34" s="7" t="inlineStr">
        <is>
          <t>comparable</t>
        </is>
      </c>
      <c r="N34" s="7" t="inlineStr">
        <is>
          <t>No</t>
        </is>
      </c>
      <c r="O34" s="26" t="inlineStr">
        <is>
          <t>P3 · MEDIO</t>
        </is>
      </c>
      <c r="P34" s="7" t="n">
        <v>40023</v>
      </c>
      <c r="Q34" s="17" t="inlineStr">
        <is>
          <t>040023</t>
        </is>
      </c>
      <c r="R34" s="7" t="inlineStr">
        <is>
          <t>Factura</t>
        </is>
      </c>
      <c r="S34" s="7" t="inlineStr">
        <is>
          <t>baja</t>
        </is>
      </c>
      <c r="T34" s="7" t="inlineStr">
        <is>
          <t>Sí</t>
        </is>
      </c>
    </row>
    <row r="35">
      <c r="A35" s="10" t="inlineStr">
        <is>
          <t>CERVEZA</t>
        </is>
      </c>
      <c r="B35" s="10" t="inlineStr">
        <is>
          <t>Producto 40024 — Variante 40024</t>
        </is>
      </c>
      <c r="C35" s="32" t="inlineStr">
        <is>
          <t>7800000040024</t>
        </is>
      </c>
      <c r="D35" s="36" t="n">
        <v>10</v>
      </c>
      <c r="E35" s="37" t="n">
        <v>100</v>
      </c>
      <c r="F35" s="37" t="n">
        <v>120.5</v>
      </c>
      <c r="G35" s="37" t="n">
        <v>20.5</v>
      </c>
      <c r="H35" s="38" t="n">
        <v>0.205</v>
      </c>
      <c r="I35" s="10" t="inlineStr">
        <is>
          <t>entre_15_y_50</t>
        </is>
      </c>
      <c r="J35" s="34" t="n">
        <v>46266</v>
      </c>
      <c r="K35" s="32" t="inlineStr">
        <is>
          <t>123</t>
        </is>
      </c>
      <c r="L35" s="10" t="inlineStr">
        <is>
          <t>Bodega Central</t>
        </is>
      </c>
      <c r="M35" s="10" t="inlineStr">
        <is>
          <t>comparable</t>
        </is>
      </c>
      <c r="N35" s="10" t="inlineStr">
        <is>
          <t>No</t>
        </is>
      </c>
      <c r="O35" s="26" t="inlineStr">
        <is>
          <t>P3 · MEDIO</t>
        </is>
      </c>
      <c r="P35" s="10" t="n">
        <v>40024</v>
      </c>
      <c r="Q35" s="32" t="inlineStr">
        <is>
          <t>040024</t>
        </is>
      </c>
      <c r="R35" s="10" t="inlineStr">
        <is>
          <t>Factura</t>
        </is>
      </c>
      <c r="S35" s="10" t="inlineStr">
        <is>
          <t>baja</t>
        </is>
      </c>
      <c r="T35" s="10" t="inlineStr">
        <is>
          <t>Sí</t>
        </is>
      </c>
    </row>
    <row r="36">
      <c r="A36" s="7" t="inlineStr">
        <is>
          <t>CERVEZA</t>
        </is>
      </c>
      <c r="B36" s="7" t="inlineStr">
        <is>
          <t>Producto 40025 — Variante 40025</t>
        </is>
      </c>
      <c r="C36" s="17" t="inlineStr">
        <is>
          <t>7800000040025</t>
        </is>
      </c>
      <c r="D36" s="19" t="n">
        <v>10</v>
      </c>
      <c r="E36" s="20" t="n">
        <v>100</v>
      </c>
      <c r="F36" s="20" t="n">
        <v>120.5</v>
      </c>
      <c r="G36" s="20" t="n">
        <v>20.5</v>
      </c>
      <c r="H36" s="35" t="n">
        <v>0.205</v>
      </c>
      <c r="I36" s="7" t="inlineStr">
        <is>
          <t>entre_15_y_50</t>
        </is>
      </c>
      <c r="J36" s="23" t="n">
        <v>46266</v>
      </c>
      <c r="K36" s="17" t="inlineStr">
        <is>
          <t>123</t>
        </is>
      </c>
      <c r="L36" s="7" t="inlineStr">
        <is>
          <t>Bodega Central</t>
        </is>
      </c>
      <c r="M36" s="7" t="inlineStr">
        <is>
          <t>comparable</t>
        </is>
      </c>
      <c r="N36" s="7" t="inlineStr">
        <is>
          <t>No</t>
        </is>
      </c>
      <c r="O36" s="26" t="inlineStr">
        <is>
          <t>P3 · MEDIO</t>
        </is>
      </c>
      <c r="P36" s="7" t="n">
        <v>40025</v>
      </c>
      <c r="Q36" s="17" t="inlineStr">
        <is>
          <t>040025</t>
        </is>
      </c>
      <c r="R36" s="7" t="inlineStr">
        <is>
          <t>Factura</t>
        </is>
      </c>
      <c r="S36" s="7" t="inlineStr">
        <is>
          <t>baja</t>
        </is>
      </c>
      <c r="T36" s="7" t="inlineStr">
        <is>
          <t>Sí</t>
        </is>
      </c>
    </row>
    <row r="37">
      <c r="A37" s="10" t="inlineStr">
        <is>
          <t>CERVEZA</t>
        </is>
      </c>
      <c r="B37" s="10" t="inlineStr">
        <is>
          <t>Producto 40026 — Variante 40026</t>
        </is>
      </c>
      <c r="C37" s="32" t="inlineStr">
        <is>
          <t>7800000040026</t>
        </is>
      </c>
      <c r="D37" s="36" t="n">
        <v>10</v>
      </c>
      <c r="E37" s="37" t="n">
        <v>100</v>
      </c>
      <c r="F37" s="37" t="n">
        <v>120.5</v>
      </c>
      <c r="G37" s="37" t="n">
        <v>20.5</v>
      </c>
      <c r="H37" s="38" t="n">
        <v>0.205</v>
      </c>
      <c r="I37" s="10" t="inlineStr">
        <is>
          <t>entre_15_y_50</t>
        </is>
      </c>
      <c r="J37" s="34" t="n">
        <v>46266</v>
      </c>
      <c r="K37" s="32" t="inlineStr">
        <is>
          <t>123</t>
        </is>
      </c>
      <c r="L37" s="10" t="inlineStr">
        <is>
          <t>Bodega Central</t>
        </is>
      </c>
      <c r="M37" s="10" t="inlineStr">
        <is>
          <t>comparable</t>
        </is>
      </c>
      <c r="N37" s="10" t="inlineStr">
        <is>
          <t>No</t>
        </is>
      </c>
      <c r="O37" s="26" t="inlineStr">
        <is>
          <t>P3 · MEDIO</t>
        </is>
      </c>
      <c r="P37" s="10" t="n">
        <v>40026</v>
      </c>
      <c r="Q37" s="32" t="inlineStr">
        <is>
          <t>040026</t>
        </is>
      </c>
      <c r="R37" s="10" t="inlineStr">
        <is>
          <t>Factura</t>
        </is>
      </c>
      <c r="S37" s="10" t="inlineStr">
        <is>
          <t>baja</t>
        </is>
      </c>
      <c r="T37" s="10" t="inlineStr">
        <is>
          <t>Sí</t>
        </is>
      </c>
    </row>
    <row r="38">
      <c r="A38" s="7" t="inlineStr">
        <is>
          <t>CERVEZA</t>
        </is>
      </c>
      <c r="B38" s="7" t="inlineStr">
        <is>
          <t>Producto 40027 — Variante 40027</t>
        </is>
      </c>
      <c r="C38" s="17" t="inlineStr">
        <is>
          <t>7800000040027</t>
        </is>
      </c>
      <c r="D38" s="19" t="n">
        <v>10</v>
      </c>
      <c r="E38" s="20" t="n">
        <v>100</v>
      </c>
      <c r="F38" s="20" t="n">
        <v>120.5</v>
      </c>
      <c r="G38" s="20" t="n">
        <v>20.5</v>
      </c>
      <c r="H38" s="35" t="n">
        <v>0.205</v>
      </c>
      <c r="I38" s="7" t="inlineStr">
        <is>
          <t>entre_15_y_50</t>
        </is>
      </c>
      <c r="J38" s="23" t="n">
        <v>46266</v>
      </c>
      <c r="K38" s="17" t="inlineStr">
        <is>
          <t>123</t>
        </is>
      </c>
      <c r="L38" s="7" t="inlineStr">
        <is>
          <t>Bodega Central</t>
        </is>
      </c>
      <c r="M38" s="7" t="inlineStr">
        <is>
          <t>comparable</t>
        </is>
      </c>
      <c r="N38" s="7" t="inlineStr">
        <is>
          <t>No</t>
        </is>
      </c>
      <c r="O38" s="26" t="inlineStr">
        <is>
          <t>P3 · MEDIO</t>
        </is>
      </c>
      <c r="P38" s="7" t="n">
        <v>40027</v>
      </c>
      <c r="Q38" s="17" t="inlineStr">
        <is>
          <t>040027</t>
        </is>
      </c>
      <c r="R38" s="7" t="inlineStr">
        <is>
          <t>Factura</t>
        </is>
      </c>
      <c r="S38" s="7" t="inlineStr">
        <is>
          <t>baja</t>
        </is>
      </c>
      <c r="T38" s="7" t="inlineStr">
        <is>
          <t>Sí</t>
        </is>
      </c>
    </row>
    <row r="39">
      <c r="A39" s="10" t="inlineStr">
        <is>
          <t>CERVEZA</t>
        </is>
      </c>
      <c r="B39" s="10" t="inlineStr">
        <is>
          <t>Producto 40028 — Variante 40028</t>
        </is>
      </c>
      <c r="C39" s="32" t="inlineStr">
        <is>
          <t>7800000040028</t>
        </is>
      </c>
      <c r="D39" s="36" t="n">
        <v>10</v>
      </c>
      <c r="E39" s="37" t="n">
        <v>100</v>
      </c>
      <c r="F39" s="37" t="n">
        <v>120.5</v>
      </c>
      <c r="G39" s="37" t="n">
        <v>20.5</v>
      </c>
      <c r="H39" s="38" t="n">
        <v>0.205</v>
      </c>
      <c r="I39" s="10" t="inlineStr">
        <is>
          <t>entre_15_y_50</t>
        </is>
      </c>
      <c r="J39" s="34" t="n">
        <v>46266</v>
      </c>
      <c r="K39" s="32" t="inlineStr">
        <is>
          <t>123</t>
        </is>
      </c>
      <c r="L39" s="10" t="inlineStr">
        <is>
          <t>Bodega Central</t>
        </is>
      </c>
      <c r="M39" s="10" t="inlineStr">
        <is>
          <t>comparable</t>
        </is>
      </c>
      <c r="N39" s="10" t="inlineStr">
        <is>
          <t>No</t>
        </is>
      </c>
      <c r="O39" s="26" t="inlineStr">
        <is>
          <t>P3 · MEDIO</t>
        </is>
      </c>
      <c r="P39" s="10" t="n">
        <v>40028</v>
      </c>
      <c r="Q39" s="32" t="inlineStr">
        <is>
          <t>040028</t>
        </is>
      </c>
      <c r="R39" s="10" t="inlineStr">
        <is>
          <t>Factura</t>
        </is>
      </c>
      <c r="S39" s="10" t="inlineStr">
        <is>
          <t>baja</t>
        </is>
      </c>
      <c r="T39" s="10" t="inlineStr">
        <is>
          <t>Sí</t>
        </is>
      </c>
    </row>
    <row r="40">
      <c r="A40" s="7" t="inlineStr">
        <is>
          <t>CERVEZA</t>
        </is>
      </c>
      <c r="B40" s="7" t="inlineStr">
        <is>
          <t>Producto 40029 — Variante 40029</t>
        </is>
      </c>
      <c r="C40" s="17" t="inlineStr">
        <is>
          <t>7800000040029</t>
        </is>
      </c>
      <c r="D40" s="19" t="n">
        <v>10</v>
      </c>
      <c r="E40" s="20" t="n">
        <v>100</v>
      </c>
      <c r="F40" s="20" t="n">
        <v>120.5</v>
      </c>
      <c r="G40" s="20" t="n">
        <v>20.5</v>
      </c>
      <c r="H40" s="35" t="n">
        <v>0.205</v>
      </c>
      <c r="I40" s="7" t="inlineStr">
        <is>
          <t>entre_15_y_50</t>
        </is>
      </c>
      <c r="J40" s="23" t="n">
        <v>46266</v>
      </c>
      <c r="K40" s="17" t="inlineStr">
        <is>
          <t>123</t>
        </is>
      </c>
      <c r="L40" s="7" t="inlineStr">
        <is>
          <t>Bodega Central</t>
        </is>
      </c>
      <c r="M40" s="7" t="inlineStr">
        <is>
          <t>comparable</t>
        </is>
      </c>
      <c r="N40" s="7" t="inlineStr">
        <is>
          <t>No</t>
        </is>
      </c>
      <c r="O40" s="26" t="inlineStr">
        <is>
          <t>P3 · MEDIO</t>
        </is>
      </c>
      <c r="P40" s="7" t="n">
        <v>40029</v>
      </c>
      <c r="Q40" s="17" t="inlineStr">
        <is>
          <t>040029</t>
        </is>
      </c>
      <c r="R40" s="7" t="inlineStr">
        <is>
          <t>Factura</t>
        </is>
      </c>
      <c r="S40" s="7" t="inlineStr">
        <is>
          <t>baja</t>
        </is>
      </c>
      <c r="T40" s="7" t="inlineStr">
        <is>
          <t>Sí</t>
        </is>
      </c>
    </row>
    <row r="41">
      <c r="A41" s="10" t="inlineStr">
        <is>
          <t>CERVEZA</t>
        </is>
      </c>
      <c r="B41" s="10" t="inlineStr">
        <is>
          <t>Producto 40030 — Variante 40030</t>
        </is>
      </c>
      <c r="C41" s="32" t="inlineStr">
        <is>
          <t>7800000040030</t>
        </is>
      </c>
      <c r="D41" s="36" t="n">
        <v>10</v>
      </c>
      <c r="E41" s="37" t="n">
        <v>100</v>
      </c>
      <c r="F41" s="37" t="n">
        <v>120.5</v>
      </c>
      <c r="G41" s="37" t="n">
        <v>20.5</v>
      </c>
      <c r="H41" s="38" t="n">
        <v>0.205</v>
      </c>
      <c r="I41" s="10" t="inlineStr">
        <is>
          <t>entre_15_y_50</t>
        </is>
      </c>
      <c r="J41" s="34" t="n">
        <v>46266</v>
      </c>
      <c r="K41" s="32" t="inlineStr">
        <is>
          <t>123</t>
        </is>
      </c>
      <c r="L41" s="10" t="inlineStr">
        <is>
          <t>Bodega Central</t>
        </is>
      </c>
      <c r="M41" s="10" t="inlineStr">
        <is>
          <t>comparable</t>
        </is>
      </c>
      <c r="N41" s="10" t="inlineStr">
        <is>
          <t>No</t>
        </is>
      </c>
      <c r="O41" s="26" t="inlineStr">
        <is>
          <t>P3 · MEDIO</t>
        </is>
      </c>
      <c r="P41" s="10" t="n">
        <v>40030</v>
      </c>
      <c r="Q41" s="32" t="inlineStr">
        <is>
          <t>040030</t>
        </is>
      </c>
      <c r="R41" s="10" t="inlineStr">
        <is>
          <t>Factura</t>
        </is>
      </c>
      <c r="S41" s="10" t="inlineStr">
        <is>
          <t>baja</t>
        </is>
      </c>
      <c r="T41" s="10" t="inlineStr">
        <is>
          <t>Sí</t>
        </is>
      </c>
    </row>
    <row r="42">
      <c r="A42" s="7" t="inlineStr">
        <is>
          <t>CERVEZA</t>
        </is>
      </c>
      <c r="B42" s="7" t="inlineStr">
        <is>
          <t>Producto 40031 — Variante 40031</t>
        </is>
      </c>
      <c r="C42" s="17" t="inlineStr">
        <is>
          <t>7800000040031</t>
        </is>
      </c>
      <c r="D42" s="19" t="n">
        <v>10</v>
      </c>
      <c r="E42" s="20" t="n">
        <v>100</v>
      </c>
      <c r="F42" s="20" t="n">
        <v>120.5</v>
      </c>
      <c r="G42" s="20" t="n">
        <v>20.5</v>
      </c>
      <c r="H42" s="35" t="n">
        <v>0.205</v>
      </c>
      <c r="I42" s="7" t="inlineStr">
        <is>
          <t>entre_15_y_50</t>
        </is>
      </c>
      <c r="J42" s="23" t="n">
        <v>46266</v>
      </c>
      <c r="K42" s="17" t="inlineStr">
        <is>
          <t>123</t>
        </is>
      </c>
      <c r="L42" s="7" t="inlineStr">
        <is>
          <t>Bodega Central</t>
        </is>
      </c>
      <c r="M42" s="7" t="inlineStr">
        <is>
          <t>comparable</t>
        </is>
      </c>
      <c r="N42" s="7" t="inlineStr">
        <is>
          <t>No</t>
        </is>
      </c>
      <c r="O42" s="26" t="inlineStr">
        <is>
          <t>P3 · MEDIO</t>
        </is>
      </c>
      <c r="P42" s="7" t="n">
        <v>40031</v>
      </c>
      <c r="Q42" s="17" t="inlineStr">
        <is>
          <t>040031</t>
        </is>
      </c>
      <c r="R42" s="7" t="inlineStr">
        <is>
          <t>Factura</t>
        </is>
      </c>
      <c r="S42" s="7" t="inlineStr">
        <is>
          <t>baja</t>
        </is>
      </c>
      <c r="T42" s="7" t="inlineStr">
        <is>
          <t>Sí</t>
        </is>
      </c>
    </row>
    <row r="43">
      <c r="A43" s="10" t="inlineStr">
        <is>
          <t>CERVEZA</t>
        </is>
      </c>
      <c r="B43" s="10" t="inlineStr">
        <is>
          <t>Producto 40032 — Variante 40032</t>
        </is>
      </c>
      <c r="C43" s="32" t="inlineStr">
        <is>
          <t>7800000040032</t>
        </is>
      </c>
      <c r="D43" s="36" t="n">
        <v>10</v>
      </c>
      <c r="E43" s="37" t="n">
        <v>100</v>
      </c>
      <c r="F43" s="37" t="n">
        <v>120.5</v>
      </c>
      <c r="G43" s="37" t="n">
        <v>20.5</v>
      </c>
      <c r="H43" s="38" t="n">
        <v>0.205</v>
      </c>
      <c r="I43" s="10" t="inlineStr">
        <is>
          <t>entre_15_y_50</t>
        </is>
      </c>
      <c r="J43" s="34" t="n">
        <v>46266</v>
      </c>
      <c r="K43" s="32" t="inlineStr">
        <is>
          <t>123</t>
        </is>
      </c>
      <c r="L43" s="10" t="inlineStr">
        <is>
          <t>Bodega Central</t>
        </is>
      </c>
      <c r="M43" s="10" t="inlineStr">
        <is>
          <t>comparable</t>
        </is>
      </c>
      <c r="N43" s="10" t="inlineStr">
        <is>
          <t>No</t>
        </is>
      </c>
      <c r="O43" s="26" t="inlineStr">
        <is>
          <t>P3 · MEDIO</t>
        </is>
      </c>
      <c r="P43" s="10" t="n">
        <v>40032</v>
      </c>
      <c r="Q43" s="32" t="inlineStr">
        <is>
          <t>040032</t>
        </is>
      </c>
      <c r="R43" s="10" t="inlineStr">
        <is>
          <t>Factura</t>
        </is>
      </c>
      <c r="S43" s="10" t="inlineStr">
        <is>
          <t>baja</t>
        </is>
      </c>
      <c r="T43" s="10" t="inlineStr">
        <is>
          <t>Sí</t>
        </is>
      </c>
    </row>
    <row r="44">
      <c r="A44" s="7" t="inlineStr">
        <is>
          <t>CERVEZA</t>
        </is>
      </c>
      <c r="B44" s="7" t="inlineStr">
        <is>
          <t>Producto 40033 — Variante 40033</t>
        </is>
      </c>
      <c r="C44" s="17" t="inlineStr">
        <is>
          <t>7800000040033</t>
        </is>
      </c>
      <c r="D44" s="19" t="n">
        <v>10</v>
      </c>
      <c r="E44" s="20" t="n">
        <v>100</v>
      </c>
      <c r="F44" s="20" t="n">
        <v>120.5</v>
      </c>
      <c r="G44" s="20" t="n">
        <v>20.5</v>
      </c>
      <c r="H44" s="35" t="n">
        <v>0.205</v>
      </c>
      <c r="I44" s="7" t="inlineStr">
        <is>
          <t>entre_15_y_50</t>
        </is>
      </c>
      <c r="J44" s="23" t="n">
        <v>46266</v>
      </c>
      <c r="K44" s="17" t="inlineStr">
        <is>
          <t>123</t>
        </is>
      </c>
      <c r="L44" s="7" t="inlineStr">
        <is>
          <t>Bodega Central</t>
        </is>
      </c>
      <c r="M44" s="7" t="inlineStr">
        <is>
          <t>comparable</t>
        </is>
      </c>
      <c r="N44" s="7" t="inlineStr">
        <is>
          <t>No</t>
        </is>
      </c>
      <c r="O44" s="26" t="inlineStr">
        <is>
          <t>P3 · MEDIO</t>
        </is>
      </c>
      <c r="P44" s="7" t="n">
        <v>40033</v>
      </c>
      <c r="Q44" s="17" t="inlineStr">
        <is>
          <t>040033</t>
        </is>
      </c>
      <c r="R44" s="7" t="inlineStr">
        <is>
          <t>Factura</t>
        </is>
      </c>
      <c r="S44" s="7" t="inlineStr">
        <is>
          <t>baja</t>
        </is>
      </c>
      <c r="T44" s="7" t="inlineStr">
        <is>
          <t>Sí</t>
        </is>
      </c>
    </row>
    <row r="45">
      <c r="A45" s="10" t="inlineStr">
        <is>
          <t>CERVEZA</t>
        </is>
      </c>
      <c r="B45" s="10" t="inlineStr">
        <is>
          <t>Producto 40034 — Variante 40034</t>
        </is>
      </c>
      <c r="C45" s="32" t="inlineStr">
        <is>
          <t>7800000040034</t>
        </is>
      </c>
      <c r="D45" s="36" t="n">
        <v>10</v>
      </c>
      <c r="E45" s="37" t="n">
        <v>100</v>
      </c>
      <c r="F45" s="37" t="n">
        <v>120.5</v>
      </c>
      <c r="G45" s="37" t="n">
        <v>20.5</v>
      </c>
      <c r="H45" s="38" t="n">
        <v>0.205</v>
      </c>
      <c r="I45" s="10" t="inlineStr">
        <is>
          <t>entre_15_y_50</t>
        </is>
      </c>
      <c r="J45" s="34" t="n">
        <v>46266</v>
      </c>
      <c r="K45" s="32" t="inlineStr">
        <is>
          <t>123</t>
        </is>
      </c>
      <c r="L45" s="10" t="inlineStr">
        <is>
          <t>Bodega Central</t>
        </is>
      </c>
      <c r="M45" s="10" t="inlineStr">
        <is>
          <t>comparable</t>
        </is>
      </c>
      <c r="N45" s="10" t="inlineStr">
        <is>
          <t>No</t>
        </is>
      </c>
      <c r="O45" s="26" t="inlineStr">
        <is>
          <t>P3 · MEDIO</t>
        </is>
      </c>
      <c r="P45" s="10" t="n">
        <v>40034</v>
      </c>
      <c r="Q45" s="32" t="inlineStr">
        <is>
          <t>040034</t>
        </is>
      </c>
      <c r="R45" s="10" t="inlineStr">
        <is>
          <t>Factura</t>
        </is>
      </c>
      <c r="S45" s="10" t="inlineStr">
        <is>
          <t>baja</t>
        </is>
      </c>
      <c r="T45" s="10" t="inlineStr">
        <is>
          <t>Sí</t>
        </is>
      </c>
    </row>
    <row r="46">
      <c r="A46" s="7" t="inlineStr">
        <is>
          <t>Sin tipo</t>
        </is>
      </c>
      <c r="B46" s="7" t="inlineStr">
        <is>
          <t>OK — OK</t>
        </is>
      </c>
      <c r="C46" s="17" t="inlineStr">
        <is>
          <t>1</t>
        </is>
      </c>
      <c r="D46" s="19" t="n">
        <v>3</v>
      </c>
      <c r="E46" s="20" t="n">
        <v>100</v>
      </c>
      <c r="F46" s="20" t="n">
        <v>105</v>
      </c>
      <c r="G46" s="20" t="n">
        <v>5</v>
      </c>
      <c r="H46" s="35" t="n">
        <v>0.05</v>
      </c>
      <c r="I46" s="7" t="inlineStr">
        <is>
          <t>hasta_15</t>
        </is>
      </c>
      <c r="J46" s="23" t="n">
        <v>46235</v>
      </c>
      <c r="K46" s="17" t="inlineStr">
        <is>
          <t>9</t>
        </is>
      </c>
      <c r="L46" s="7" t="inlineStr">
        <is>
          <t>Bodega Central</t>
        </is>
      </c>
      <c r="M46" s="7" t="inlineStr">
        <is>
          <t>comparable</t>
        </is>
      </c>
      <c r="N46" s="7" t="inlineStr">
        <is>
          <t>No</t>
        </is>
      </c>
      <c r="O46" s="7" t="n"/>
      <c r="P46" s="7" t="n">
        <v>1</v>
      </c>
      <c r="Q46" s="17" t="inlineStr">
        <is>
          <t>1</t>
        </is>
      </c>
      <c r="R46" s="7" t="inlineStr">
        <is>
          <t>Factura</t>
        </is>
      </c>
      <c r="S46" s="7" t="n"/>
      <c r="T46" s="7" t="inlineStr">
        <is>
          <t>Sí</t>
        </is>
      </c>
    </row>
    <row r="47">
      <c r="A47" s="7" t="inlineStr">
        <is>
          <t>Sin tipo</t>
        </is>
      </c>
      <c r="B47" s="7" t="inlineStr">
        <is>
          <t>Sin comparable — X</t>
        </is>
      </c>
      <c r="C47" s="17" t="inlineStr">
        <is>
          <t>2</t>
        </is>
      </c>
      <c r="D47" s="19" t="n">
        <v>8</v>
      </c>
      <c r="E47" s="20" t="n">
        <v>50</v>
      </c>
      <c r="F47" s="20" t="n"/>
      <c r="G47" s="22" t="n"/>
      <c r="H47" s="27" t="n"/>
      <c r="I47" s="7" t="inlineStr">
        <is>
          <t>sin_recepcion_comparable</t>
        </is>
      </c>
      <c r="J47" s="23" t="n"/>
      <c r="K47" s="17" t="n"/>
      <c r="L47" s="7" t="n"/>
      <c r="M47" s="31" t="inlineStr">
        <is>
          <t>sin_comparable</t>
        </is>
      </c>
      <c r="N47" s="7" t="inlineStr">
        <is>
          <t>No</t>
        </is>
      </c>
      <c r="O47" s="7" t="n"/>
      <c r="P47" s="7" t="n">
        <v>2</v>
      </c>
      <c r="Q47" s="17" t="inlineStr">
        <is>
          <t>2</t>
        </is>
      </c>
      <c r="R47" s="7" t="n"/>
      <c r="S47" s="7" t="n"/>
      <c r="T47" s="31" t="inlineStr">
        <is>
          <t>No</t>
        </is>
      </c>
    </row>
  </sheetData>
  <autoFilter ref="A5:T47"/>
  <mergeCells count="3">
    <mergeCell ref="A1:T1"/>
    <mergeCell ref="A3:T3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40" customWidth="1" min="2" max="2"/>
    <col width="50" customWidth="1" min="3" max="3"/>
    <col width="55" customWidth="1" min="4" max="4"/>
  </cols>
  <sheetData>
    <row r="1" ht="28" customHeight="1">
      <c r="A1" s="39" t="inlineStr">
        <is>
          <t>Integridad de catálogo y sincronización</t>
        </is>
      </c>
      <c r="B1" s="2" t="n"/>
      <c r="C1" s="2" t="n"/>
      <c r="D1" s="2" t="n"/>
    </row>
    <row r="2" ht="18" customHeight="1">
      <c r="A2" s="3" t="inlineStr">
        <is>
          <t>Cobertura de costos, huérfanas y frescura de sync — solo lectura</t>
        </is>
      </c>
      <c r="B2" s="4" t="n"/>
      <c r="C2" s="4" t="n"/>
      <c r="D2" s="4" t="n"/>
    </row>
    <row r="3">
      <c r="A3" s="7" t="inlineStr">
        <is>
          <t>Variantes catálogo</t>
        </is>
      </c>
      <c r="B3" s="7" t="n">
        <v>100</v>
      </c>
    </row>
    <row r="4">
      <c r="A4" s="10" t="inlineStr">
        <is>
          <t>Filas variant_costs</t>
        </is>
      </c>
      <c r="B4" s="10" t="n">
        <v>95</v>
      </c>
    </row>
    <row r="5">
      <c r="A5" s="7" t="inlineStr">
        <is>
          <t>Sin fila de costo (aprox.)</t>
        </is>
      </c>
      <c r="B5" s="7" t="n">
        <v>5</v>
      </c>
    </row>
    <row r="6">
      <c r="A6" s="10" t="inlineStr">
        <is>
          <t>Costos NULL</t>
        </is>
      </c>
      <c r="B6" s="10" t="n">
        <v>0</v>
      </c>
    </row>
    <row r="7">
      <c r="A7" s="7" t="inlineStr">
        <is>
          <t>Costos = 0</t>
        </is>
      </c>
      <c r="B7" s="7" t="n">
        <v>25</v>
      </c>
    </row>
    <row r="8">
      <c r="A8" s="10" t="inlineStr">
        <is>
          <t>Costos &gt; 0</t>
        </is>
      </c>
      <c r="B8" s="10" t="n">
        <v>70</v>
      </c>
    </row>
    <row r="9">
      <c r="A9" s="7" t="inlineStr">
        <is>
          <t>Activas sin fila stock</t>
        </is>
      </c>
      <c r="B9" s="7" t="n"/>
    </row>
    <row r="10">
      <c r="A10" s="10" t="inlineStr">
        <is>
          <t>Stock&gt;0 sin variante (huérfanas)</t>
        </is>
      </c>
      <c r="B10" s="10" t="n">
        <v>0</v>
      </c>
    </row>
    <row r="11">
      <c r="A11" s="7" t="inlineStr">
        <is>
          <t>Unidades huérfanas</t>
        </is>
      </c>
      <c r="B11" s="7" t="n"/>
    </row>
    <row r="13">
      <c r="A13" s="12" t="inlineStr">
        <is>
          <t>Huérfanas (detalle)</t>
        </is>
      </c>
    </row>
    <row r="14">
      <c r="A14" s="5" t="inlineStr">
        <is>
          <t>ID VARIANTE</t>
        </is>
      </c>
      <c r="B14" s="5" t="inlineStr">
        <is>
          <t>STOCK</t>
        </is>
      </c>
      <c r="C14" s="5" t="inlineStr">
        <is>
          <t>OFICINAS</t>
        </is>
      </c>
      <c r="D14" s="5" t="inlineStr">
        <is>
          <t>NOTA</t>
        </is>
      </c>
    </row>
    <row r="15">
      <c r="A15" t="n">
        <v>31352</v>
      </c>
      <c r="B15" t="n">
        <v>2</v>
      </c>
      <c r="C15" t="n">
        <v>1</v>
      </c>
      <c r="D15" t="inlineStr">
        <is>
          <t>stock&gt;0 sin fila en variants</t>
        </is>
      </c>
    </row>
    <row r="17">
      <c r="A17" s="12" t="inlineStr">
        <is>
          <t>Sincronización</t>
        </is>
      </c>
    </row>
    <row r="18">
      <c r="A18" s="5" t="inlineStr">
        <is>
          <t>Recurso</t>
        </is>
      </c>
      <c r="B18" s="5" t="inlineStr">
        <is>
          <t>Estado</t>
        </is>
      </c>
      <c r="C18" s="5" t="inlineStr">
        <is>
          <t>Último SUCCESS</t>
        </is>
      </c>
      <c r="D18" s="5" t="inlineStr">
        <is>
          <t>Advertencia activa</t>
        </is>
      </c>
    </row>
    <row r="19">
      <c r="A19" t="inlineStr">
        <is>
          <t>variant_costs / full</t>
        </is>
      </c>
      <c r="B19" t="inlineStr">
        <is>
          <t>SUCCESS</t>
        </is>
      </c>
      <c r="C19" t="inlineStr">
        <is>
          <t>2026-10-22 12:00:00+00:00</t>
        </is>
      </c>
      <c r="D19" t="inlineStr">
        <is>
          <t>No — hubo errores históricos; último SUCCESS los supersede</t>
        </is>
      </c>
    </row>
    <row r="22">
      <c r="A22" s="40" t="inlineStr">
        <is>
          <t>Nota: errores históricos de sync no generan alerta si existe SUCCESS posterior.</t>
        </is>
      </c>
    </row>
  </sheetData>
  <mergeCells count="4">
    <mergeCell ref="A1:D1"/>
    <mergeCell ref="A17:D17"/>
    <mergeCell ref="A13:D1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52" customWidth="1" min="2" max="2"/>
    <col width="19" customWidth="1" min="3" max="3"/>
    <col width="16" customWidth="1" min="4" max="4"/>
    <col width="25" customWidth="1" min="5" max="5"/>
    <col width="19" customWidth="1" min="6" max="6"/>
    <col width="23" customWidth="1" min="7" max="7"/>
    <col width="17" customWidth="1" min="8" max="8"/>
    <col width="14" customWidth="1" min="9" max="9"/>
    <col width="42" customWidth="1" min="10" max="10"/>
    <col width="32" customWidth="1" min="11" max="11"/>
    <col width="25" customWidth="1" min="12" max="12"/>
    <col width="13" customWidth="1" min="13" max="13"/>
    <col width="16" customWidth="1" min="14" max="14"/>
  </cols>
  <sheetData>
    <row r="1" ht="28" customHeight="1">
      <c r="A1" s="14" t="inlineStr">
        <is>
          <t>SEGUIMIENTO ADMINISTRATIVO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Campos azules editables  ·  Cambiar estados en este archivo NO actualiza la ERP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1" t="inlineStr">
        <is>
          <t>Una fila por variante. Registra responsable, fecha, decisión y evidencia. Los casos vienen del corte del 2026-10-26.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</row>
    <row r="5">
      <c r="A5" s="5" t="inlineStr">
        <is>
          <t>TIPO</t>
        </is>
      </c>
      <c r="B5" s="5" t="inlineStr">
        <is>
          <t>PRODUCTO + VARIANTE</t>
        </is>
      </c>
      <c r="C5" s="5" t="inlineStr">
        <is>
          <t>BARCODE</t>
        </is>
      </c>
      <c r="D5" s="5" t="inlineStr">
        <is>
          <t>PRIORIDAD</t>
        </is>
      </c>
      <c r="E5" s="5" t="inlineStr">
        <is>
          <t>MOTIVO</t>
        </is>
      </c>
      <c r="F5" s="5" t="inlineStr">
        <is>
          <t>FACTURA</t>
        </is>
      </c>
      <c r="G5" s="5" t="inlineStr">
        <is>
          <t>ESTADO</t>
        </is>
      </c>
      <c r="H5" s="5" t="inlineStr">
        <is>
          <t>RESPONSABLE</t>
        </is>
      </c>
      <c r="I5" s="5" t="inlineStr">
        <is>
          <t>FECHA REVISIÓN</t>
        </is>
      </c>
      <c r="J5" s="5" t="inlineStr">
        <is>
          <t>OBSERVACIÓN</t>
        </is>
      </c>
      <c r="K5" s="5" t="inlineStr">
        <is>
          <t>RESOLUCIÓN</t>
        </is>
      </c>
      <c r="L5" s="5" t="inlineStr">
        <is>
          <t>CORRECCIÓN APLICADA</t>
        </is>
      </c>
      <c r="M5" s="5" t="inlineStr">
        <is>
          <t>VARIANT_ID</t>
        </is>
      </c>
      <c r="N5" s="5" t="inlineStr">
        <is>
          <t>SKU</t>
        </is>
      </c>
    </row>
    <row r="6">
      <c r="A6" s="7" t="inlineStr">
        <is>
          <t>CERVEZA</t>
        </is>
      </c>
      <c r="B6" s="7" t="inlineStr">
        <is>
          <t>Producto 10894 — Variante 10894</t>
        </is>
      </c>
      <c r="C6" s="17" t="inlineStr">
        <is>
          <t>7800000010894</t>
        </is>
      </c>
      <c r="D6" s="18" t="inlineStr">
        <is>
          <t>P1 · CRÍTICO</t>
        </is>
      </c>
      <c r="E6" s="7" t="inlineStr">
        <is>
          <t>Diferencia &gt;15 %</t>
        </is>
      </c>
      <c r="F6" s="7" t="inlineStr">
        <is>
          <t>Factura 123</t>
        </is>
      </c>
      <c r="G6" s="43" t="inlineStr">
        <is>
          <t>Pendiente</t>
        </is>
      </c>
      <c r="H6" s="43" t="n"/>
      <c r="I6" s="44" t="n"/>
      <c r="J6" s="43" t="n"/>
      <c r="K6" s="43" t="n"/>
      <c r="L6" s="43" t="n"/>
      <c r="M6" s="7" t="n">
        <v>10894</v>
      </c>
      <c r="N6" s="17" t="inlineStr">
        <is>
          <t>010894</t>
        </is>
      </c>
    </row>
    <row r="7">
      <c r="A7" s="10" t="inlineStr">
        <is>
          <t>CERVEZA</t>
        </is>
      </c>
      <c r="B7" s="10" t="inlineStr">
        <is>
          <t>Producto 27785 — Variante 27785</t>
        </is>
      </c>
      <c r="C7" s="32" t="inlineStr">
        <is>
          <t>7800000027785</t>
        </is>
      </c>
      <c r="D7" s="24" t="inlineStr">
        <is>
          <t>P2 · ALTO</t>
        </is>
      </c>
      <c r="E7" s="10" t="inlineStr">
        <is>
          <t>Diferencia &gt;15 %</t>
        </is>
      </c>
      <c r="F7" s="10" t="inlineStr">
        <is>
          <t>Factura 123</t>
        </is>
      </c>
      <c r="G7" s="43" t="inlineStr">
        <is>
          <t>Pendiente</t>
        </is>
      </c>
      <c r="H7" s="43" t="n"/>
      <c r="I7" s="44" t="n"/>
      <c r="J7" s="43" t="n"/>
      <c r="K7" s="43" t="n"/>
      <c r="L7" s="43" t="n"/>
      <c r="M7" s="7" t="n">
        <v>27785</v>
      </c>
      <c r="N7" s="17" t="inlineStr">
        <is>
          <t>027785</t>
        </is>
      </c>
    </row>
    <row r="8">
      <c r="A8" s="7" t="inlineStr">
        <is>
          <t>CERVEZA</t>
        </is>
      </c>
      <c r="B8" s="7" t="inlineStr">
        <is>
          <t>Producto 30735 — Variante 30735</t>
        </is>
      </c>
      <c r="C8" s="17" t="inlineStr">
        <is>
          <t>7800000030735</t>
        </is>
      </c>
      <c r="D8" s="18" t="inlineStr">
        <is>
          <t>P1 · CRÍTICO</t>
        </is>
      </c>
      <c r="E8" s="7" t="inlineStr">
        <is>
          <t>Diferencia &gt;15 %_extrema</t>
        </is>
      </c>
      <c r="F8" s="7" t="inlineStr">
        <is>
          <t>Factura 123</t>
        </is>
      </c>
      <c r="G8" s="43" t="inlineStr">
        <is>
          <t>Pendiente</t>
        </is>
      </c>
      <c r="H8" s="43" t="n"/>
      <c r="I8" s="44" t="n"/>
      <c r="J8" s="43" t="n"/>
      <c r="K8" s="43" t="n"/>
      <c r="L8" s="43" t="n"/>
      <c r="M8" s="7" t="n">
        <v>30735</v>
      </c>
      <c r="N8" s="17" t="inlineStr">
        <is>
          <t>030735</t>
        </is>
      </c>
    </row>
    <row r="9">
      <c r="A9" s="10" t="inlineStr">
        <is>
          <t>CERVEZA</t>
        </is>
      </c>
      <c r="B9" s="10" t="inlineStr">
        <is>
          <t>Producto 24486 — Variante 24486</t>
        </is>
      </c>
      <c r="C9" s="32" t="inlineStr">
        <is>
          <t>7800000024486</t>
        </is>
      </c>
      <c r="D9" s="24" t="inlineStr">
        <is>
          <t>P2 · ALTO</t>
        </is>
      </c>
      <c r="E9" s="10" t="inlineStr">
        <is>
          <t>Diferencia &gt;15 %_extrema</t>
        </is>
      </c>
      <c r="F9" s="10" t="inlineStr">
        <is>
          <t>Factura 123</t>
        </is>
      </c>
      <c r="G9" s="43" t="inlineStr">
        <is>
          <t>Pendiente</t>
        </is>
      </c>
      <c r="H9" s="43" t="n"/>
      <c r="I9" s="44" t="n"/>
      <c r="J9" s="43" t="n"/>
      <c r="K9" s="43" t="n"/>
      <c r="L9" s="43" t="n"/>
      <c r="M9" s="7" t="n">
        <v>24486</v>
      </c>
      <c r="N9" s="17" t="inlineStr">
        <is>
          <t>024486</t>
        </is>
      </c>
    </row>
    <row r="10">
      <c r="A10" s="7" t="inlineStr">
        <is>
          <t>CERVEZA</t>
        </is>
      </c>
      <c r="B10" s="7" t="inlineStr">
        <is>
          <t>Producto 29507 — Variante 29507</t>
        </is>
      </c>
      <c r="C10" s="17" t="inlineStr">
        <is>
          <t>7800000029507</t>
        </is>
      </c>
      <c r="D10" s="24" t="inlineStr">
        <is>
          <t>P2 · ALTO</t>
        </is>
      </c>
      <c r="E10" s="7" t="inlineStr">
        <is>
          <t>Diferencia &gt;15 %</t>
        </is>
      </c>
      <c r="F10" s="7" t="inlineStr">
        <is>
          <t>Factura 123</t>
        </is>
      </c>
      <c r="G10" s="43" t="inlineStr">
        <is>
          <t>Pendiente</t>
        </is>
      </c>
      <c r="H10" s="43" t="n"/>
      <c r="I10" s="44" t="n"/>
      <c r="J10" s="43" t="n"/>
      <c r="K10" s="43" t="n"/>
      <c r="L10" s="43" t="n"/>
      <c r="M10" s="7" t="n">
        <v>29507</v>
      </c>
      <c r="N10" s="17" t="inlineStr">
        <is>
          <t>029507</t>
        </is>
      </c>
    </row>
    <row r="11">
      <c r="A11" s="10" t="inlineStr">
        <is>
          <t>CERVEZA</t>
        </is>
      </c>
      <c r="B11" s="10" t="inlineStr">
        <is>
          <t>Producto 40000 — Variante 40000</t>
        </is>
      </c>
      <c r="C11" s="32" t="inlineStr">
        <is>
          <t>7800000040000</t>
        </is>
      </c>
      <c r="D11" s="26" t="inlineStr">
        <is>
          <t>P3 · MEDIO</t>
        </is>
      </c>
      <c r="E11" s="10" t="inlineStr">
        <is>
          <t>Diferencia &gt;15 %</t>
        </is>
      </c>
      <c r="F11" s="10" t="inlineStr">
        <is>
          <t>Factura 123</t>
        </is>
      </c>
      <c r="G11" s="43" t="inlineStr">
        <is>
          <t>Pendiente</t>
        </is>
      </c>
      <c r="H11" s="43" t="n"/>
      <c r="I11" s="44" t="n"/>
      <c r="J11" s="43" t="n"/>
      <c r="K11" s="43" t="n"/>
      <c r="L11" s="43" t="n"/>
      <c r="M11" s="7" t="n">
        <v>40000</v>
      </c>
      <c r="N11" s="17" t="inlineStr">
        <is>
          <t>040000</t>
        </is>
      </c>
    </row>
    <row r="12">
      <c r="A12" s="7" t="inlineStr">
        <is>
          <t>CERVEZA</t>
        </is>
      </c>
      <c r="B12" s="7" t="inlineStr">
        <is>
          <t>Producto 40001 — Variante 40001</t>
        </is>
      </c>
      <c r="C12" s="17" t="inlineStr">
        <is>
          <t>7800000040001</t>
        </is>
      </c>
      <c r="D12" s="26" t="inlineStr">
        <is>
          <t>P3 · MEDIO</t>
        </is>
      </c>
      <c r="E12" s="7" t="inlineStr">
        <is>
          <t>Diferencia &gt;15 %</t>
        </is>
      </c>
      <c r="F12" s="7" t="inlineStr">
        <is>
          <t>Factura 123</t>
        </is>
      </c>
      <c r="G12" s="43" t="inlineStr">
        <is>
          <t>Pendiente</t>
        </is>
      </c>
      <c r="H12" s="43" t="n"/>
      <c r="I12" s="44" t="n"/>
      <c r="J12" s="43" t="n"/>
      <c r="K12" s="43" t="n"/>
      <c r="L12" s="43" t="n"/>
      <c r="M12" s="7" t="n">
        <v>40001</v>
      </c>
      <c r="N12" s="17" t="inlineStr">
        <is>
          <t>040001</t>
        </is>
      </c>
    </row>
    <row r="13">
      <c r="A13" s="10" t="inlineStr">
        <is>
          <t>CERVEZA</t>
        </is>
      </c>
      <c r="B13" s="10" t="inlineStr">
        <is>
          <t>Producto 40002 — Variante 40002</t>
        </is>
      </c>
      <c r="C13" s="32" t="inlineStr">
        <is>
          <t>7800000040002</t>
        </is>
      </c>
      <c r="D13" s="26" t="inlineStr">
        <is>
          <t>P3 · MEDIO</t>
        </is>
      </c>
      <c r="E13" s="10" t="inlineStr">
        <is>
          <t>Diferencia &gt;15 %</t>
        </is>
      </c>
      <c r="F13" s="10" t="inlineStr">
        <is>
          <t>Factura 123</t>
        </is>
      </c>
      <c r="G13" s="43" t="inlineStr">
        <is>
          <t>Pendiente</t>
        </is>
      </c>
      <c r="H13" s="43" t="n"/>
      <c r="I13" s="44" t="n"/>
      <c r="J13" s="43" t="n"/>
      <c r="K13" s="43" t="n"/>
      <c r="L13" s="43" t="n"/>
      <c r="M13" s="7" t="n">
        <v>40002</v>
      </c>
      <c r="N13" s="17" t="inlineStr">
        <is>
          <t>040002</t>
        </is>
      </c>
    </row>
    <row r="14">
      <c r="A14" s="7" t="inlineStr">
        <is>
          <t>CERVEZA</t>
        </is>
      </c>
      <c r="B14" s="7" t="inlineStr">
        <is>
          <t>Producto 40003 — Variante 40003</t>
        </is>
      </c>
      <c r="C14" s="17" t="inlineStr">
        <is>
          <t>7800000040003</t>
        </is>
      </c>
      <c r="D14" s="26" t="inlineStr">
        <is>
          <t>P3 · MEDIO</t>
        </is>
      </c>
      <c r="E14" s="7" t="inlineStr">
        <is>
          <t>Diferencia &gt;15 %</t>
        </is>
      </c>
      <c r="F14" s="7" t="inlineStr">
        <is>
          <t>Factura 123</t>
        </is>
      </c>
      <c r="G14" s="43" t="inlineStr">
        <is>
          <t>Pendiente</t>
        </is>
      </c>
      <c r="H14" s="43" t="n"/>
      <c r="I14" s="44" t="n"/>
      <c r="J14" s="43" t="n"/>
      <c r="K14" s="43" t="n"/>
      <c r="L14" s="43" t="n"/>
      <c r="M14" s="7" t="n">
        <v>40003</v>
      </c>
      <c r="N14" s="17" t="inlineStr">
        <is>
          <t>040003</t>
        </is>
      </c>
    </row>
    <row r="15">
      <c r="A15" s="10" t="inlineStr">
        <is>
          <t>CERVEZA</t>
        </is>
      </c>
      <c r="B15" s="10" t="inlineStr">
        <is>
          <t>Producto 40004 — Variante 40004</t>
        </is>
      </c>
      <c r="C15" s="32" t="inlineStr">
        <is>
          <t>7800000040004</t>
        </is>
      </c>
      <c r="D15" s="26" t="inlineStr">
        <is>
          <t>P3 · MEDIO</t>
        </is>
      </c>
      <c r="E15" s="10" t="inlineStr">
        <is>
          <t>Diferencia &gt;15 %</t>
        </is>
      </c>
      <c r="F15" s="10" t="inlineStr">
        <is>
          <t>Factura 123</t>
        </is>
      </c>
      <c r="G15" s="43" t="inlineStr">
        <is>
          <t>Pendiente</t>
        </is>
      </c>
      <c r="H15" s="43" t="n"/>
      <c r="I15" s="44" t="n"/>
      <c r="J15" s="43" t="n"/>
      <c r="K15" s="43" t="n"/>
      <c r="L15" s="43" t="n"/>
      <c r="M15" s="7" t="n">
        <v>40004</v>
      </c>
      <c r="N15" s="17" t="inlineStr">
        <is>
          <t>040004</t>
        </is>
      </c>
    </row>
    <row r="16">
      <c r="A16" s="7" t="inlineStr">
        <is>
          <t>CERVEZA</t>
        </is>
      </c>
      <c r="B16" s="7" t="inlineStr">
        <is>
          <t>Producto 40005 — Variante 40005</t>
        </is>
      </c>
      <c r="C16" s="17" t="inlineStr">
        <is>
          <t>7800000040005</t>
        </is>
      </c>
      <c r="D16" s="26" t="inlineStr">
        <is>
          <t>P3 · MEDIO</t>
        </is>
      </c>
      <c r="E16" s="7" t="inlineStr">
        <is>
          <t>Diferencia &gt;15 %</t>
        </is>
      </c>
      <c r="F16" s="7" t="inlineStr">
        <is>
          <t>Factura 123</t>
        </is>
      </c>
      <c r="G16" s="43" t="inlineStr">
        <is>
          <t>Pendiente</t>
        </is>
      </c>
      <c r="H16" s="43" t="n"/>
      <c r="I16" s="44" t="n"/>
      <c r="J16" s="43" t="n"/>
      <c r="K16" s="43" t="n"/>
      <c r="L16" s="43" t="n"/>
      <c r="M16" s="7" t="n">
        <v>40005</v>
      </c>
      <c r="N16" s="17" t="inlineStr">
        <is>
          <t>040005</t>
        </is>
      </c>
    </row>
    <row r="17">
      <c r="A17" s="10" t="inlineStr">
        <is>
          <t>CERVEZA</t>
        </is>
      </c>
      <c r="B17" s="10" t="inlineStr">
        <is>
          <t>Producto 40006 — Variante 40006</t>
        </is>
      </c>
      <c r="C17" s="32" t="inlineStr">
        <is>
          <t>7800000040006</t>
        </is>
      </c>
      <c r="D17" s="26" t="inlineStr">
        <is>
          <t>P3 · MEDIO</t>
        </is>
      </c>
      <c r="E17" s="10" t="inlineStr">
        <is>
          <t>Diferencia &gt;15 %</t>
        </is>
      </c>
      <c r="F17" s="10" t="inlineStr">
        <is>
          <t>Factura 123</t>
        </is>
      </c>
      <c r="G17" s="43" t="inlineStr">
        <is>
          <t>Pendiente</t>
        </is>
      </c>
      <c r="H17" s="43" t="n"/>
      <c r="I17" s="44" t="n"/>
      <c r="J17" s="43" t="n"/>
      <c r="K17" s="43" t="n"/>
      <c r="L17" s="43" t="n"/>
      <c r="M17" s="7" t="n">
        <v>40006</v>
      </c>
      <c r="N17" s="17" t="inlineStr">
        <is>
          <t>040006</t>
        </is>
      </c>
    </row>
    <row r="18">
      <c r="A18" s="7" t="inlineStr">
        <is>
          <t>CERVEZA</t>
        </is>
      </c>
      <c r="B18" s="7" t="inlineStr">
        <is>
          <t>Producto 40007 — Variante 40007</t>
        </is>
      </c>
      <c r="C18" s="17" t="inlineStr">
        <is>
          <t>7800000040007</t>
        </is>
      </c>
      <c r="D18" s="26" t="inlineStr">
        <is>
          <t>P3 · MEDIO</t>
        </is>
      </c>
      <c r="E18" s="7" t="inlineStr">
        <is>
          <t>Diferencia &gt;15 %</t>
        </is>
      </c>
      <c r="F18" s="7" t="inlineStr">
        <is>
          <t>Factura 123</t>
        </is>
      </c>
      <c r="G18" s="43" t="inlineStr">
        <is>
          <t>Pendiente</t>
        </is>
      </c>
      <c r="H18" s="43" t="n"/>
      <c r="I18" s="44" t="n"/>
      <c r="J18" s="43" t="n"/>
      <c r="K18" s="43" t="n"/>
      <c r="L18" s="43" t="n"/>
      <c r="M18" s="7" t="n">
        <v>40007</v>
      </c>
      <c r="N18" s="17" t="inlineStr">
        <is>
          <t>040007</t>
        </is>
      </c>
    </row>
    <row r="19">
      <c r="A19" s="10" t="inlineStr">
        <is>
          <t>CERVEZA</t>
        </is>
      </c>
      <c r="B19" s="10" t="inlineStr">
        <is>
          <t>Producto 40008 — Variante 40008</t>
        </is>
      </c>
      <c r="C19" s="32" t="inlineStr">
        <is>
          <t>7800000040008</t>
        </is>
      </c>
      <c r="D19" s="26" t="inlineStr">
        <is>
          <t>P3 · MEDIO</t>
        </is>
      </c>
      <c r="E19" s="10" t="inlineStr">
        <is>
          <t>Diferencia &gt;15 %</t>
        </is>
      </c>
      <c r="F19" s="10" t="inlineStr">
        <is>
          <t>Factura 123</t>
        </is>
      </c>
      <c r="G19" s="43" t="inlineStr">
        <is>
          <t>Pendiente</t>
        </is>
      </c>
      <c r="H19" s="43" t="n"/>
      <c r="I19" s="44" t="n"/>
      <c r="J19" s="43" t="n"/>
      <c r="K19" s="43" t="n"/>
      <c r="L19" s="43" t="n"/>
      <c r="M19" s="7" t="n">
        <v>40008</v>
      </c>
      <c r="N19" s="17" t="inlineStr">
        <is>
          <t>040008</t>
        </is>
      </c>
    </row>
    <row r="20">
      <c r="A20" s="7" t="inlineStr">
        <is>
          <t>CERVEZA</t>
        </is>
      </c>
      <c r="B20" s="7" t="inlineStr">
        <is>
          <t>Producto 40009 — Variante 40009</t>
        </is>
      </c>
      <c r="C20" s="17" t="inlineStr">
        <is>
          <t>7800000040009</t>
        </is>
      </c>
      <c r="D20" s="26" t="inlineStr">
        <is>
          <t>P3 · MEDIO</t>
        </is>
      </c>
      <c r="E20" s="7" t="inlineStr">
        <is>
          <t>Diferencia &gt;15 %</t>
        </is>
      </c>
      <c r="F20" s="7" t="inlineStr">
        <is>
          <t>Factura 123</t>
        </is>
      </c>
      <c r="G20" s="43" t="inlineStr">
        <is>
          <t>Pendiente</t>
        </is>
      </c>
      <c r="H20" s="43" t="n"/>
      <c r="I20" s="44" t="n"/>
      <c r="J20" s="43" t="n"/>
      <c r="K20" s="43" t="n"/>
      <c r="L20" s="43" t="n"/>
      <c r="M20" s="7" t="n">
        <v>40009</v>
      </c>
      <c r="N20" s="17" t="inlineStr">
        <is>
          <t>040009</t>
        </is>
      </c>
    </row>
    <row r="21">
      <c r="A21" s="10" t="inlineStr">
        <is>
          <t>CERVEZA</t>
        </is>
      </c>
      <c r="B21" s="10" t="inlineStr">
        <is>
          <t>Producto 40010 — Variante 40010</t>
        </is>
      </c>
      <c r="C21" s="32" t="inlineStr">
        <is>
          <t>7800000040010</t>
        </is>
      </c>
      <c r="D21" s="26" t="inlineStr">
        <is>
          <t>P3 · MEDIO</t>
        </is>
      </c>
      <c r="E21" s="10" t="inlineStr">
        <is>
          <t>Diferencia &gt;15 %</t>
        </is>
      </c>
      <c r="F21" s="10" t="inlineStr">
        <is>
          <t>Factura 123</t>
        </is>
      </c>
      <c r="G21" s="43" t="inlineStr">
        <is>
          <t>Pendiente</t>
        </is>
      </c>
      <c r="H21" s="43" t="n"/>
      <c r="I21" s="44" t="n"/>
      <c r="J21" s="43" t="n"/>
      <c r="K21" s="43" t="n"/>
      <c r="L21" s="43" t="n"/>
      <c r="M21" s="7" t="n">
        <v>40010</v>
      </c>
      <c r="N21" s="17" t="inlineStr">
        <is>
          <t>040010</t>
        </is>
      </c>
    </row>
    <row r="22">
      <c r="A22" s="7" t="inlineStr">
        <is>
          <t>CERVEZA</t>
        </is>
      </c>
      <c r="B22" s="7" t="inlineStr">
        <is>
          <t>Producto 40011 — Variante 40011</t>
        </is>
      </c>
      <c r="C22" s="17" t="inlineStr">
        <is>
          <t>7800000040011</t>
        </is>
      </c>
      <c r="D22" s="26" t="inlineStr">
        <is>
          <t>P3 · MEDIO</t>
        </is>
      </c>
      <c r="E22" s="7" t="inlineStr">
        <is>
          <t>Diferencia &gt;15 %</t>
        </is>
      </c>
      <c r="F22" s="7" t="inlineStr">
        <is>
          <t>Factura 123</t>
        </is>
      </c>
      <c r="G22" s="43" t="inlineStr">
        <is>
          <t>Pendiente</t>
        </is>
      </c>
      <c r="H22" s="43" t="n"/>
      <c r="I22" s="44" t="n"/>
      <c r="J22" s="43" t="n"/>
      <c r="K22" s="43" t="n"/>
      <c r="L22" s="43" t="n"/>
      <c r="M22" s="7" t="n">
        <v>40011</v>
      </c>
      <c r="N22" s="17" t="inlineStr">
        <is>
          <t>040011</t>
        </is>
      </c>
    </row>
    <row r="23">
      <c r="A23" s="10" t="inlineStr">
        <is>
          <t>CERVEZA</t>
        </is>
      </c>
      <c r="B23" s="10" t="inlineStr">
        <is>
          <t>Producto 40012 — Variante 40012</t>
        </is>
      </c>
      <c r="C23" s="32" t="inlineStr">
        <is>
          <t>7800000040012</t>
        </is>
      </c>
      <c r="D23" s="26" t="inlineStr">
        <is>
          <t>P3 · MEDIO</t>
        </is>
      </c>
      <c r="E23" s="10" t="inlineStr">
        <is>
          <t>Diferencia &gt;15 %</t>
        </is>
      </c>
      <c r="F23" s="10" t="inlineStr">
        <is>
          <t>Factura 123</t>
        </is>
      </c>
      <c r="G23" s="43" t="inlineStr">
        <is>
          <t>Pendiente</t>
        </is>
      </c>
      <c r="H23" s="43" t="n"/>
      <c r="I23" s="44" t="n"/>
      <c r="J23" s="43" t="n"/>
      <c r="K23" s="43" t="n"/>
      <c r="L23" s="43" t="n"/>
      <c r="M23" s="7" t="n">
        <v>40012</v>
      </c>
      <c r="N23" s="17" t="inlineStr">
        <is>
          <t>040012</t>
        </is>
      </c>
    </row>
    <row r="24">
      <c r="A24" s="7" t="inlineStr">
        <is>
          <t>CERVEZA</t>
        </is>
      </c>
      <c r="B24" s="7" t="inlineStr">
        <is>
          <t>Producto 40013 — Variante 40013</t>
        </is>
      </c>
      <c r="C24" s="17" t="inlineStr">
        <is>
          <t>7800000040013</t>
        </is>
      </c>
      <c r="D24" s="26" t="inlineStr">
        <is>
          <t>P3 · MEDIO</t>
        </is>
      </c>
      <c r="E24" s="7" t="inlineStr">
        <is>
          <t>Diferencia &gt;15 %</t>
        </is>
      </c>
      <c r="F24" s="7" t="inlineStr">
        <is>
          <t>Factura 123</t>
        </is>
      </c>
      <c r="G24" s="43" t="inlineStr">
        <is>
          <t>Pendiente</t>
        </is>
      </c>
      <c r="H24" s="43" t="n"/>
      <c r="I24" s="44" t="n"/>
      <c r="J24" s="43" t="n"/>
      <c r="K24" s="43" t="n"/>
      <c r="L24" s="43" t="n"/>
      <c r="M24" s="7" t="n">
        <v>40013</v>
      </c>
      <c r="N24" s="17" t="inlineStr">
        <is>
          <t>040013</t>
        </is>
      </c>
    </row>
    <row r="25">
      <c r="A25" s="10" t="inlineStr">
        <is>
          <t>CERVEZA</t>
        </is>
      </c>
      <c r="B25" s="10" t="inlineStr">
        <is>
          <t>Producto 40014 — Variante 40014</t>
        </is>
      </c>
      <c r="C25" s="32" t="inlineStr">
        <is>
          <t>7800000040014</t>
        </is>
      </c>
      <c r="D25" s="26" t="inlineStr">
        <is>
          <t>P3 · MEDIO</t>
        </is>
      </c>
      <c r="E25" s="10" t="inlineStr">
        <is>
          <t>Diferencia &gt;15 %</t>
        </is>
      </c>
      <c r="F25" s="10" t="inlineStr">
        <is>
          <t>Factura 123</t>
        </is>
      </c>
      <c r="G25" s="43" t="inlineStr">
        <is>
          <t>Pendiente</t>
        </is>
      </c>
      <c r="H25" s="43" t="n"/>
      <c r="I25" s="44" t="n"/>
      <c r="J25" s="43" t="n"/>
      <c r="K25" s="43" t="n"/>
      <c r="L25" s="43" t="n"/>
      <c r="M25" s="7" t="n">
        <v>40014</v>
      </c>
      <c r="N25" s="17" t="inlineStr">
        <is>
          <t>040014</t>
        </is>
      </c>
    </row>
    <row r="26">
      <c r="A26" s="7" t="inlineStr">
        <is>
          <t>CERVEZA</t>
        </is>
      </c>
      <c r="B26" s="7" t="inlineStr">
        <is>
          <t>Producto 40015 — Variante 40015</t>
        </is>
      </c>
      <c r="C26" s="17" t="inlineStr">
        <is>
          <t>7800000040015</t>
        </is>
      </c>
      <c r="D26" s="26" t="inlineStr">
        <is>
          <t>P3 · MEDIO</t>
        </is>
      </c>
      <c r="E26" s="7" t="inlineStr">
        <is>
          <t>Diferencia &gt;15 %</t>
        </is>
      </c>
      <c r="F26" s="7" t="inlineStr">
        <is>
          <t>Factura 123</t>
        </is>
      </c>
      <c r="G26" s="43" t="inlineStr">
        <is>
          <t>Pendiente</t>
        </is>
      </c>
      <c r="H26" s="43" t="n"/>
      <c r="I26" s="44" t="n"/>
      <c r="J26" s="43" t="n"/>
      <c r="K26" s="43" t="n"/>
      <c r="L26" s="43" t="n"/>
      <c r="M26" s="7" t="n">
        <v>40015</v>
      </c>
      <c r="N26" s="17" t="inlineStr">
        <is>
          <t>040015</t>
        </is>
      </c>
    </row>
    <row r="27">
      <c r="A27" s="10" t="inlineStr">
        <is>
          <t>CERVEZA</t>
        </is>
      </c>
      <c r="B27" s="10" t="inlineStr">
        <is>
          <t>Producto 40016 — Variante 40016</t>
        </is>
      </c>
      <c r="C27" s="32" t="inlineStr">
        <is>
          <t>7800000040016</t>
        </is>
      </c>
      <c r="D27" s="26" t="inlineStr">
        <is>
          <t>P3 · MEDIO</t>
        </is>
      </c>
      <c r="E27" s="10" t="inlineStr">
        <is>
          <t>Diferencia &gt;15 %</t>
        </is>
      </c>
      <c r="F27" s="10" t="inlineStr">
        <is>
          <t>Factura 123</t>
        </is>
      </c>
      <c r="G27" s="43" t="inlineStr">
        <is>
          <t>Pendiente</t>
        </is>
      </c>
      <c r="H27" s="43" t="n"/>
      <c r="I27" s="44" t="n"/>
      <c r="J27" s="43" t="n"/>
      <c r="K27" s="43" t="n"/>
      <c r="L27" s="43" t="n"/>
      <c r="M27" s="7" t="n">
        <v>40016</v>
      </c>
      <c r="N27" s="17" t="inlineStr">
        <is>
          <t>040016</t>
        </is>
      </c>
    </row>
    <row r="28">
      <c r="A28" s="7" t="inlineStr">
        <is>
          <t>CERVEZA</t>
        </is>
      </c>
      <c r="B28" s="7" t="inlineStr">
        <is>
          <t>Producto 40017 — Variante 40017</t>
        </is>
      </c>
      <c r="C28" s="17" t="inlineStr">
        <is>
          <t>7800000040017</t>
        </is>
      </c>
      <c r="D28" s="26" t="inlineStr">
        <is>
          <t>P3 · MEDIO</t>
        </is>
      </c>
      <c r="E28" s="7" t="inlineStr">
        <is>
          <t>Diferencia &gt;15 %</t>
        </is>
      </c>
      <c r="F28" s="7" t="inlineStr">
        <is>
          <t>Factura 123</t>
        </is>
      </c>
      <c r="G28" s="43" t="inlineStr">
        <is>
          <t>Pendiente</t>
        </is>
      </c>
      <c r="H28" s="43" t="n"/>
      <c r="I28" s="44" t="n"/>
      <c r="J28" s="43" t="n"/>
      <c r="K28" s="43" t="n"/>
      <c r="L28" s="43" t="n"/>
      <c r="M28" s="7" t="n">
        <v>40017</v>
      </c>
      <c r="N28" s="17" t="inlineStr">
        <is>
          <t>040017</t>
        </is>
      </c>
    </row>
    <row r="29">
      <c r="A29" s="10" t="inlineStr">
        <is>
          <t>CERVEZA</t>
        </is>
      </c>
      <c r="B29" s="10" t="inlineStr">
        <is>
          <t>Producto 40018 — Variante 40018</t>
        </is>
      </c>
      <c r="C29" s="32" t="inlineStr">
        <is>
          <t>7800000040018</t>
        </is>
      </c>
      <c r="D29" s="26" t="inlineStr">
        <is>
          <t>P3 · MEDIO</t>
        </is>
      </c>
      <c r="E29" s="10" t="inlineStr">
        <is>
          <t>Diferencia &gt;15 %</t>
        </is>
      </c>
      <c r="F29" s="10" t="inlineStr">
        <is>
          <t>Factura 123</t>
        </is>
      </c>
      <c r="G29" s="43" t="inlineStr">
        <is>
          <t>Pendiente</t>
        </is>
      </c>
      <c r="H29" s="43" t="n"/>
      <c r="I29" s="44" t="n"/>
      <c r="J29" s="43" t="n"/>
      <c r="K29" s="43" t="n"/>
      <c r="L29" s="43" t="n"/>
      <c r="M29" s="7" t="n">
        <v>40018</v>
      </c>
      <c r="N29" s="17" t="inlineStr">
        <is>
          <t>040018</t>
        </is>
      </c>
    </row>
    <row r="30">
      <c r="A30" s="7" t="inlineStr">
        <is>
          <t>CERVEZA</t>
        </is>
      </c>
      <c r="B30" s="7" t="inlineStr">
        <is>
          <t>Producto 40019 — Variante 40019</t>
        </is>
      </c>
      <c r="C30" s="17" t="inlineStr">
        <is>
          <t>7800000040019</t>
        </is>
      </c>
      <c r="D30" s="26" t="inlineStr">
        <is>
          <t>P3 · MEDIO</t>
        </is>
      </c>
      <c r="E30" s="7" t="inlineStr">
        <is>
          <t>Diferencia &gt;15 %</t>
        </is>
      </c>
      <c r="F30" s="7" t="inlineStr">
        <is>
          <t>Factura 123</t>
        </is>
      </c>
      <c r="G30" s="43" t="inlineStr">
        <is>
          <t>Pendiente</t>
        </is>
      </c>
      <c r="H30" s="43" t="n"/>
      <c r="I30" s="44" t="n"/>
      <c r="J30" s="43" t="n"/>
      <c r="K30" s="43" t="n"/>
      <c r="L30" s="43" t="n"/>
      <c r="M30" s="7" t="n">
        <v>40019</v>
      </c>
      <c r="N30" s="17" t="inlineStr">
        <is>
          <t>040019</t>
        </is>
      </c>
    </row>
    <row r="31">
      <c r="A31" s="10" t="inlineStr">
        <is>
          <t>CERVEZA</t>
        </is>
      </c>
      <c r="B31" s="10" t="inlineStr">
        <is>
          <t>Producto 40020 — Variante 40020</t>
        </is>
      </c>
      <c r="C31" s="32" t="inlineStr">
        <is>
          <t>7800000040020</t>
        </is>
      </c>
      <c r="D31" s="26" t="inlineStr">
        <is>
          <t>P3 · MEDIO</t>
        </is>
      </c>
      <c r="E31" s="10" t="inlineStr">
        <is>
          <t>Diferencia &gt;15 %</t>
        </is>
      </c>
      <c r="F31" s="10" t="inlineStr">
        <is>
          <t>Factura 123</t>
        </is>
      </c>
      <c r="G31" s="43" t="inlineStr">
        <is>
          <t>Pendiente</t>
        </is>
      </c>
      <c r="H31" s="43" t="n"/>
      <c r="I31" s="44" t="n"/>
      <c r="J31" s="43" t="n"/>
      <c r="K31" s="43" t="n"/>
      <c r="L31" s="43" t="n"/>
      <c r="M31" s="7" t="n">
        <v>40020</v>
      </c>
      <c r="N31" s="17" t="inlineStr">
        <is>
          <t>040020</t>
        </is>
      </c>
    </row>
    <row r="32">
      <c r="A32" s="7" t="inlineStr">
        <is>
          <t>CERVEZA</t>
        </is>
      </c>
      <c r="B32" s="7" t="inlineStr">
        <is>
          <t>Producto 40021 — Variante 40021</t>
        </is>
      </c>
      <c r="C32" s="17" t="inlineStr">
        <is>
          <t>7800000040021</t>
        </is>
      </c>
      <c r="D32" s="26" t="inlineStr">
        <is>
          <t>P3 · MEDIO</t>
        </is>
      </c>
      <c r="E32" s="7" t="inlineStr">
        <is>
          <t>Diferencia &gt;15 %</t>
        </is>
      </c>
      <c r="F32" s="7" t="inlineStr">
        <is>
          <t>Factura 123</t>
        </is>
      </c>
      <c r="G32" s="43" t="inlineStr">
        <is>
          <t>Pendiente</t>
        </is>
      </c>
      <c r="H32" s="43" t="n"/>
      <c r="I32" s="44" t="n"/>
      <c r="J32" s="43" t="n"/>
      <c r="K32" s="43" t="n"/>
      <c r="L32" s="43" t="n"/>
      <c r="M32" s="7" t="n">
        <v>40021</v>
      </c>
      <c r="N32" s="17" t="inlineStr">
        <is>
          <t>040021</t>
        </is>
      </c>
    </row>
    <row r="33">
      <c r="A33" s="10" t="inlineStr">
        <is>
          <t>CERVEZA</t>
        </is>
      </c>
      <c r="B33" s="10" t="inlineStr">
        <is>
          <t>Producto 40022 — Variante 40022</t>
        </is>
      </c>
      <c r="C33" s="32" t="inlineStr">
        <is>
          <t>7800000040022</t>
        </is>
      </c>
      <c r="D33" s="26" t="inlineStr">
        <is>
          <t>P3 · MEDIO</t>
        </is>
      </c>
      <c r="E33" s="10" t="inlineStr">
        <is>
          <t>Diferencia &gt;15 %</t>
        </is>
      </c>
      <c r="F33" s="10" t="inlineStr">
        <is>
          <t>Factura 123</t>
        </is>
      </c>
      <c r="G33" s="43" t="inlineStr">
        <is>
          <t>Pendiente</t>
        </is>
      </c>
      <c r="H33" s="43" t="n"/>
      <c r="I33" s="44" t="n"/>
      <c r="J33" s="43" t="n"/>
      <c r="K33" s="43" t="n"/>
      <c r="L33" s="43" t="n"/>
      <c r="M33" s="7" t="n">
        <v>40022</v>
      </c>
      <c r="N33" s="17" t="inlineStr">
        <is>
          <t>040022</t>
        </is>
      </c>
    </row>
    <row r="34">
      <c r="A34" s="7" t="inlineStr">
        <is>
          <t>CERVEZA</t>
        </is>
      </c>
      <c r="B34" s="7" t="inlineStr">
        <is>
          <t>Producto 40023 — Variante 40023</t>
        </is>
      </c>
      <c r="C34" s="17" t="inlineStr">
        <is>
          <t>7800000040023</t>
        </is>
      </c>
      <c r="D34" s="26" t="inlineStr">
        <is>
          <t>P3 · MEDIO</t>
        </is>
      </c>
      <c r="E34" s="7" t="inlineStr">
        <is>
          <t>Diferencia &gt;15 %</t>
        </is>
      </c>
      <c r="F34" s="7" t="inlineStr">
        <is>
          <t>Factura 123</t>
        </is>
      </c>
      <c r="G34" s="43" t="inlineStr">
        <is>
          <t>Pendiente</t>
        </is>
      </c>
      <c r="H34" s="43" t="n"/>
      <c r="I34" s="44" t="n"/>
      <c r="J34" s="43" t="n"/>
      <c r="K34" s="43" t="n"/>
      <c r="L34" s="43" t="n"/>
      <c r="M34" s="7" t="n">
        <v>40023</v>
      </c>
      <c r="N34" s="17" t="inlineStr">
        <is>
          <t>040023</t>
        </is>
      </c>
    </row>
    <row r="35">
      <c r="A35" s="10" t="inlineStr">
        <is>
          <t>CERVEZA</t>
        </is>
      </c>
      <c r="B35" s="10" t="inlineStr">
        <is>
          <t>Producto 40024 — Variante 40024</t>
        </is>
      </c>
      <c r="C35" s="32" t="inlineStr">
        <is>
          <t>7800000040024</t>
        </is>
      </c>
      <c r="D35" s="26" t="inlineStr">
        <is>
          <t>P3 · MEDIO</t>
        </is>
      </c>
      <c r="E35" s="10" t="inlineStr">
        <is>
          <t>Diferencia &gt;15 %</t>
        </is>
      </c>
      <c r="F35" s="10" t="inlineStr">
        <is>
          <t>Factura 123</t>
        </is>
      </c>
      <c r="G35" s="43" t="inlineStr">
        <is>
          <t>Pendiente</t>
        </is>
      </c>
      <c r="H35" s="43" t="n"/>
      <c r="I35" s="44" t="n"/>
      <c r="J35" s="43" t="n"/>
      <c r="K35" s="43" t="n"/>
      <c r="L35" s="43" t="n"/>
      <c r="M35" s="7" t="n">
        <v>40024</v>
      </c>
      <c r="N35" s="17" t="inlineStr">
        <is>
          <t>040024</t>
        </is>
      </c>
    </row>
    <row r="36">
      <c r="A36" s="7" t="inlineStr">
        <is>
          <t>CERVEZA</t>
        </is>
      </c>
      <c r="B36" s="7" t="inlineStr">
        <is>
          <t>Producto 40025 — Variante 40025</t>
        </is>
      </c>
      <c r="C36" s="17" t="inlineStr">
        <is>
          <t>7800000040025</t>
        </is>
      </c>
      <c r="D36" s="26" t="inlineStr">
        <is>
          <t>P3 · MEDIO</t>
        </is>
      </c>
      <c r="E36" s="7" t="inlineStr">
        <is>
          <t>Diferencia &gt;15 %</t>
        </is>
      </c>
      <c r="F36" s="7" t="inlineStr">
        <is>
          <t>Factura 123</t>
        </is>
      </c>
      <c r="G36" s="43" t="inlineStr">
        <is>
          <t>Pendiente</t>
        </is>
      </c>
      <c r="H36" s="43" t="n"/>
      <c r="I36" s="44" t="n"/>
      <c r="J36" s="43" t="n"/>
      <c r="K36" s="43" t="n"/>
      <c r="L36" s="43" t="n"/>
      <c r="M36" s="7" t="n">
        <v>40025</v>
      </c>
      <c r="N36" s="17" t="inlineStr">
        <is>
          <t>040025</t>
        </is>
      </c>
    </row>
    <row r="37">
      <c r="A37" s="10" t="inlineStr">
        <is>
          <t>CERVEZA</t>
        </is>
      </c>
      <c r="B37" s="10" t="inlineStr">
        <is>
          <t>Producto 40026 — Variante 40026</t>
        </is>
      </c>
      <c r="C37" s="32" t="inlineStr">
        <is>
          <t>7800000040026</t>
        </is>
      </c>
      <c r="D37" s="26" t="inlineStr">
        <is>
          <t>P3 · MEDIO</t>
        </is>
      </c>
      <c r="E37" s="10" t="inlineStr">
        <is>
          <t>Diferencia &gt;15 %</t>
        </is>
      </c>
      <c r="F37" s="10" t="inlineStr">
        <is>
          <t>Factura 123</t>
        </is>
      </c>
      <c r="G37" s="43" t="inlineStr">
        <is>
          <t>Pendiente</t>
        </is>
      </c>
      <c r="H37" s="43" t="n"/>
      <c r="I37" s="44" t="n"/>
      <c r="J37" s="43" t="n"/>
      <c r="K37" s="43" t="n"/>
      <c r="L37" s="43" t="n"/>
      <c r="M37" s="7" t="n">
        <v>40026</v>
      </c>
      <c r="N37" s="17" t="inlineStr">
        <is>
          <t>040026</t>
        </is>
      </c>
    </row>
    <row r="38">
      <c r="A38" s="7" t="inlineStr">
        <is>
          <t>CERVEZA</t>
        </is>
      </c>
      <c r="B38" s="7" t="inlineStr">
        <is>
          <t>Producto 40027 — Variante 40027</t>
        </is>
      </c>
      <c r="C38" s="17" t="inlineStr">
        <is>
          <t>7800000040027</t>
        </is>
      </c>
      <c r="D38" s="26" t="inlineStr">
        <is>
          <t>P3 · MEDIO</t>
        </is>
      </c>
      <c r="E38" s="7" t="inlineStr">
        <is>
          <t>Diferencia &gt;15 %</t>
        </is>
      </c>
      <c r="F38" s="7" t="inlineStr">
        <is>
          <t>Factura 123</t>
        </is>
      </c>
      <c r="G38" s="43" t="inlineStr">
        <is>
          <t>Pendiente</t>
        </is>
      </c>
      <c r="H38" s="43" t="n"/>
      <c r="I38" s="44" t="n"/>
      <c r="J38" s="43" t="n"/>
      <c r="K38" s="43" t="n"/>
      <c r="L38" s="43" t="n"/>
      <c r="M38" s="7" t="n">
        <v>40027</v>
      </c>
      <c r="N38" s="17" t="inlineStr">
        <is>
          <t>040027</t>
        </is>
      </c>
    </row>
    <row r="39">
      <c r="A39" s="10" t="inlineStr">
        <is>
          <t>CERVEZA</t>
        </is>
      </c>
      <c r="B39" s="10" t="inlineStr">
        <is>
          <t>Producto 40028 — Variante 40028</t>
        </is>
      </c>
      <c r="C39" s="32" t="inlineStr">
        <is>
          <t>7800000040028</t>
        </is>
      </c>
      <c r="D39" s="26" t="inlineStr">
        <is>
          <t>P3 · MEDIO</t>
        </is>
      </c>
      <c r="E39" s="10" t="inlineStr">
        <is>
          <t>Diferencia &gt;15 %</t>
        </is>
      </c>
      <c r="F39" s="10" t="inlineStr">
        <is>
          <t>Factura 123</t>
        </is>
      </c>
      <c r="G39" s="43" t="inlineStr">
        <is>
          <t>Pendiente</t>
        </is>
      </c>
      <c r="H39" s="43" t="n"/>
      <c r="I39" s="44" t="n"/>
      <c r="J39" s="43" t="n"/>
      <c r="K39" s="43" t="n"/>
      <c r="L39" s="43" t="n"/>
      <c r="M39" s="7" t="n">
        <v>40028</v>
      </c>
      <c r="N39" s="17" t="inlineStr">
        <is>
          <t>040028</t>
        </is>
      </c>
    </row>
    <row r="40">
      <c r="A40" s="7" t="inlineStr">
        <is>
          <t>CERVEZA</t>
        </is>
      </c>
      <c r="B40" s="7" t="inlineStr">
        <is>
          <t>Producto 40029 — Variante 40029</t>
        </is>
      </c>
      <c r="C40" s="17" t="inlineStr">
        <is>
          <t>7800000040029</t>
        </is>
      </c>
      <c r="D40" s="26" t="inlineStr">
        <is>
          <t>P3 · MEDIO</t>
        </is>
      </c>
      <c r="E40" s="7" t="inlineStr">
        <is>
          <t>Diferencia &gt;15 %</t>
        </is>
      </c>
      <c r="F40" s="7" t="inlineStr">
        <is>
          <t>Factura 123</t>
        </is>
      </c>
      <c r="G40" s="43" t="inlineStr">
        <is>
          <t>Pendiente</t>
        </is>
      </c>
      <c r="H40" s="43" t="n"/>
      <c r="I40" s="44" t="n"/>
      <c r="J40" s="43" t="n"/>
      <c r="K40" s="43" t="n"/>
      <c r="L40" s="43" t="n"/>
      <c r="M40" s="7" t="n">
        <v>40029</v>
      </c>
      <c r="N40" s="17" t="inlineStr">
        <is>
          <t>040029</t>
        </is>
      </c>
    </row>
    <row r="41">
      <c r="A41" s="10" t="inlineStr">
        <is>
          <t>CERVEZA</t>
        </is>
      </c>
      <c r="B41" s="10" t="inlineStr">
        <is>
          <t>Producto 40030 — Variante 40030</t>
        </is>
      </c>
      <c r="C41" s="32" t="inlineStr">
        <is>
          <t>7800000040030</t>
        </is>
      </c>
      <c r="D41" s="26" t="inlineStr">
        <is>
          <t>P3 · MEDIO</t>
        </is>
      </c>
      <c r="E41" s="10" t="inlineStr">
        <is>
          <t>Diferencia &gt;15 %</t>
        </is>
      </c>
      <c r="F41" s="10" t="inlineStr">
        <is>
          <t>Factura 123</t>
        </is>
      </c>
      <c r="G41" s="43" t="inlineStr">
        <is>
          <t>Pendiente</t>
        </is>
      </c>
      <c r="H41" s="43" t="n"/>
      <c r="I41" s="44" t="n"/>
      <c r="J41" s="43" t="n"/>
      <c r="K41" s="43" t="n"/>
      <c r="L41" s="43" t="n"/>
      <c r="M41" s="7" t="n">
        <v>40030</v>
      </c>
      <c r="N41" s="17" t="inlineStr">
        <is>
          <t>040030</t>
        </is>
      </c>
    </row>
    <row r="42">
      <c r="A42" s="7" t="inlineStr">
        <is>
          <t>CERVEZA</t>
        </is>
      </c>
      <c r="B42" s="7" t="inlineStr">
        <is>
          <t>Producto 40031 — Variante 40031</t>
        </is>
      </c>
      <c r="C42" s="17" t="inlineStr">
        <is>
          <t>7800000040031</t>
        </is>
      </c>
      <c r="D42" s="26" t="inlineStr">
        <is>
          <t>P3 · MEDIO</t>
        </is>
      </c>
      <c r="E42" s="7" t="inlineStr">
        <is>
          <t>Diferencia &gt;15 %</t>
        </is>
      </c>
      <c r="F42" s="7" t="inlineStr">
        <is>
          <t>Factura 123</t>
        </is>
      </c>
      <c r="G42" s="43" t="inlineStr">
        <is>
          <t>Pendiente</t>
        </is>
      </c>
      <c r="H42" s="43" t="n"/>
      <c r="I42" s="44" t="n"/>
      <c r="J42" s="43" t="n"/>
      <c r="K42" s="43" t="n"/>
      <c r="L42" s="43" t="n"/>
      <c r="M42" s="7" t="n">
        <v>40031</v>
      </c>
      <c r="N42" s="17" t="inlineStr">
        <is>
          <t>040031</t>
        </is>
      </c>
    </row>
    <row r="43">
      <c r="A43" s="10" t="inlineStr">
        <is>
          <t>CERVEZA</t>
        </is>
      </c>
      <c r="B43" s="10" t="inlineStr">
        <is>
          <t>Producto 40032 — Variante 40032</t>
        </is>
      </c>
      <c r="C43" s="32" t="inlineStr">
        <is>
          <t>7800000040032</t>
        </is>
      </c>
      <c r="D43" s="26" t="inlineStr">
        <is>
          <t>P3 · MEDIO</t>
        </is>
      </c>
      <c r="E43" s="10" t="inlineStr">
        <is>
          <t>Diferencia &gt;15 %</t>
        </is>
      </c>
      <c r="F43" s="10" t="inlineStr">
        <is>
          <t>Factura 123</t>
        </is>
      </c>
      <c r="G43" s="43" t="inlineStr">
        <is>
          <t>Pendiente</t>
        </is>
      </c>
      <c r="H43" s="43" t="n"/>
      <c r="I43" s="44" t="n"/>
      <c r="J43" s="43" t="n"/>
      <c r="K43" s="43" t="n"/>
      <c r="L43" s="43" t="n"/>
      <c r="M43" s="7" t="n">
        <v>40032</v>
      </c>
      <c r="N43" s="17" t="inlineStr">
        <is>
          <t>040032</t>
        </is>
      </c>
    </row>
    <row r="44">
      <c r="A44" s="7" t="inlineStr">
        <is>
          <t>CERVEZA</t>
        </is>
      </c>
      <c r="B44" s="7" t="inlineStr">
        <is>
          <t>Producto 40033 — Variante 40033</t>
        </is>
      </c>
      <c r="C44" s="17" t="inlineStr">
        <is>
          <t>7800000040033</t>
        </is>
      </c>
      <c r="D44" s="26" t="inlineStr">
        <is>
          <t>P3 · MEDIO</t>
        </is>
      </c>
      <c r="E44" s="7" t="inlineStr">
        <is>
          <t>Diferencia &gt;15 %</t>
        </is>
      </c>
      <c r="F44" s="7" t="inlineStr">
        <is>
          <t>Factura 123</t>
        </is>
      </c>
      <c r="G44" s="43" t="inlineStr">
        <is>
          <t>Pendiente</t>
        </is>
      </c>
      <c r="H44" s="43" t="n"/>
      <c r="I44" s="44" t="n"/>
      <c r="J44" s="43" t="n"/>
      <c r="K44" s="43" t="n"/>
      <c r="L44" s="43" t="n"/>
      <c r="M44" s="7" t="n">
        <v>40033</v>
      </c>
      <c r="N44" s="17" t="inlineStr">
        <is>
          <t>040033</t>
        </is>
      </c>
    </row>
    <row r="45">
      <c r="A45" s="10" t="inlineStr">
        <is>
          <t>CERVEZA</t>
        </is>
      </c>
      <c r="B45" s="10" t="inlineStr">
        <is>
          <t>Producto 40034 — Variante 40034</t>
        </is>
      </c>
      <c r="C45" s="32" t="inlineStr">
        <is>
          <t>7800000040034</t>
        </is>
      </c>
      <c r="D45" s="26" t="inlineStr">
        <is>
          <t>P3 · MEDIO</t>
        </is>
      </c>
      <c r="E45" s="10" t="inlineStr">
        <is>
          <t>Diferencia &gt;15 %</t>
        </is>
      </c>
      <c r="F45" s="10" t="inlineStr">
        <is>
          <t>Factura 123</t>
        </is>
      </c>
      <c r="G45" s="43" t="inlineStr">
        <is>
          <t>Pendiente</t>
        </is>
      </c>
      <c r="H45" s="43" t="n"/>
      <c r="I45" s="44" t="n"/>
      <c r="J45" s="43" t="n"/>
      <c r="K45" s="43" t="n"/>
      <c r="L45" s="43" t="n"/>
      <c r="M45" s="7" t="n">
        <v>40034</v>
      </c>
      <c r="N45" s="17" t="inlineStr">
        <is>
          <t>040034</t>
        </is>
      </c>
    </row>
  </sheetData>
  <autoFilter ref="A5:N45"/>
  <mergeCells count="3">
    <mergeCell ref="A3:N3"/>
    <mergeCell ref="A2:N2"/>
    <mergeCell ref="A1:N1"/>
  </mergeCells>
  <dataValidations count="1">
    <dataValidation sqref="G6:G45" showDropDown="0" showInputMessage="0" showErrorMessage="1" allowBlank="1" errorTitle="Estado inválido" error="Seleccione un estado de la lista." type="list">
      <formula1>"Pendiente,En revisión,Revisado sin error,Corrección necesaria,Corrección aplicada"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2026-10-26T01:36:29Z</dcterms:created>
  <dcterms:modified xsi:type="dcterms:W3CDTF">2026-10-26T01:36:29Z</dcterms:modified>
</cp:coreProperties>
</file>